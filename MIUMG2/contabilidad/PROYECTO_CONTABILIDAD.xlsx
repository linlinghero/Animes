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f89157a7f5a3a/Documentos/Umg_Universidad/Contabilidad_ll/proyecto_Conta_U/"/>
    </mc:Choice>
  </mc:AlternateContent>
  <xr:revisionPtr revIDLastSave="0" documentId="8_{CD1AC1C6-52C2-41F1-818E-DAF8F1D8A163}" xr6:coauthVersionLast="47" xr6:coauthVersionMax="47" xr10:uidLastSave="{00000000-0000-0000-0000-000000000000}"/>
  <bookViews>
    <workbookView xWindow="-98" yWindow="-98" windowWidth="21795" windowHeight="12975" activeTab="1" xr2:uid="{A8F2D369-5BA9-4ED2-947E-DCA29434C36B}"/>
  </bookViews>
  <sheets>
    <sheet name="PEPS" sheetId="1" r:id="rId1"/>
    <sheet name="UEPS" sheetId="2" r:id="rId2"/>
    <sheet name="PROMEDI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0" i="3" l="1"/>
  <c r="C30" i="3"/>
  <c r="I30" i="3" s="1"/>
  <c r="H24" i="3"/>
  <c r="H23" i="3"/>
  <c r="C23" i="3"/>
  <c r="D23" i="3" s="1"/>
  <c r="J23" i="3" s="1"/>
  <c r="J17" i="3"/>
  <c r="I17" i="3"/>
  <c r="G17" i="3"/>
  <c r="F17" i="3"/>
  <c r="J16" i="3"/>
  <c r="I16" i="3"/>
  <c r="G16" i="3"/>
  <c r="F16" i="3"/>
  <c r="J15" i="3"/>
  <c r="I15" i="3"/>
  <c r="C15" i="3"/>
  <c r="D15" i="3" s="1"/>
  <c r="I14" i="3"/>
  <c r="J14" i="3" s="1"/>
  <c r="H14" i="3"/>
  <c r="G14" i="3"/>
  <c r="F14" i="3"/>
  <c r="J13" i="3"/>
  <c r="I13" i="3"/>
  <c r="D13" i="3"/>
  <c r="C13" i="3"/>
  <c r="H29" i="2"/>
  <c r="C29" i="2"/>
  <c r="I29" i="2" s="1"/>
  <c r="J24" i="2"/>
  <c r="I24" i="2"/>
  <c r="H24" i="2"/>
  <c r="F24" i="2"/>
  <c r="G24" i="2" s="1"/>
  <c r="I23" i="2"/>
  <c r="H23" i="2"/>
  <c r="D23" i="2"/>
  <c r="J23" i="2" s="1"/>
  <c r="C23" i="2"/>
  <c r="J17" i="2"/>
  <c r="I17" i="2"/>
  <c r="G17" i="2"/>
  <c r="F17" i="2"/>
  <c r="G16" i="2"/>
  <c r="F16" i="2"/>
  <c r="J15" i="2"/>
  <c r="I15" i="2"/>
  <c r="I14" i="2"/>
  <c r="J14" i="2"/>
  <c r="F14" i="2"/>
  <c r="G14" i="2" s="1"/>
  <c r="J13" i="2"/>
  <c r="I13" i="2"/>
  <c r="H13" i="2"/>
  <c r="J12" i="2"/>
  <c r="I12" i="2"/>
  <c r="H12" i="2"/>
  <c r="D12" i="2"/>
  <c r="C12" i="2"/>
  <c r="J11" i="2"/>
  <c r="I11" i="2"/>
  <c r="G11" i="2"/>
  <c r="F11" i="2"/>
  <c r="J10" i="2"/>
  <c r="I10" i="2"/>
  <c r="D10" i="2"/>
  <c r="C10" i="2"/>
  <c r="H28" i="1"/>
  <c r="C28" i="1"/>
  <c r="D28" i="1" s="1"/>
  <c r="J28" i="1" s="1"/>
  <c r="H23" i="1"/>
  <c r="H22" i="1"/>
  <c r="C22" i="1"/>
  <c r="D22" i="1" s="1"/>
  <c r="J22" i="1" s="1"/>
  <c r="D30" i="3" l="1"/>
  <c r="J30" i="3" s="1"/>
  <c r="I23" i="3"/>
  <c r="I24" i="3" s="1"/>
  <c r="J24" i="3" s="1"/>
  <c r="F24" i="3"/>
  <c r="G24" i="3" s="1"/>
  <c r="D29" i="2"/>
  <c r="J29" i="2" s="1"/>
  <c r="I22" i="1"/>
  <c r="I23" i="1" s="1"/>
  <c r="F23" i="1"/>
  <c r="G23" i="1" s="1"/>
  <c r="J23" i="1"/>
  <c r="I28" i="1"/>
  <c r="H14" i="1"/>
  <c r="C13" i="1"/>
  <c r="I14" i="1" s="1"/>
  <c r="C11" i="1"/>
  <c r="D13" i="1"/>
  <c r="J14" i="1" s="1"/>
  <c r="I11" i="1"/>
  <c r="I12" i="1" s="1"/>
  <c r="I13" i="1" s="1"/>
  <c r="H11" i="1"/>
  <c r="H12" i="1" s="1"/>
  <c r="H13" i="1" s="1"/>
  <c r="D11" i="1"/>
  <c r="J11" i="1" s="1"/>
  <c r="F16" i="1" l="1"/>
  <c r="F17" i="1" s="1"/>
  <c r="G17" i="1" s="1"/>
  <c r="J12" i="1"/>
  <c r="J13" i="1" s="1"/>
  <c r="F12" i="1"/>
  <c r="I16" i="1" l="1"/>
  <c r="G16" i="1"/>
  <c r="G12" i="1"/>
  <c r="F15" i="1"/>
  <c r="G15" i="1" s="1"/>
  <c r="I17" i="1"/>
  <c r="J17" i="1" s="1"/>
  <c r="J16" i="1"/>
</calcChain>
</file>

<file path=xl/sharedStrings.xml><?xml version="1.0" encoding="utf-8"?>
<sst xmlns="http://schemas.openxmlformats.org/spreadsheetml/2006/main" count="153" uniqueCount="26">
  <si>
    <t>EMPRESA</t>
  </si>
  <si>
    <t>MÉTODO DE EVELUACIÓN A UTILIZAR</t>
  </si>
  <si>
    <t>UNIDAD DE MEDIDA</t>
  </si>
  <si>
    <t>MONEDA</t>
  </si>
  <si>
    <t>PROVEEDOR</t>
  </si>
  <si>
    <t xml:space="preserve">GYM WOLF MC </t>
  </si>
  <si>
    <t>PEPS</t>
  </si>
  <si>
    <t>Dymatize ISO100 Hydrolyzed de (5 Lbs)</t>
  </si>
  <si>
    <t>QUETZAL</t>
  </si>
  <si>
    <t>PROVEDORES VARIOS</t>
  </si>
  <si>
    <t>ENTRADAS</t>
  </si>
  <si>
    <t>SALIDAS</t>
  </si>
  <si>
    <t>EXISTENCIA</t>
  </si>
  <si>
    <t>Fecha Descripción</t>
  </si>
  <si>
    <t>cantidad</t>
  </si>
  <si>
    <t>Costo U</t>
  </si>
  <si>
    <t>Costo total</t>
  </si>
  <si>
    <t>Proteina sabor Chocolate</t>
  </si>
  <si>
    <t>Proteina Sabor Banano</t>
  </si>
  <si>
    <t>Proteina Sabor Fresa</t>
  </si>
  <si>
    <t>GYM WOLF MC</t>
  </si>
  <si>
    <t>MÉTODO DE EVALUCIÓN A UTILIZAR</t>
  </si>
  <si>
    <t>UEPS</t>
  </si>
  <si>
    <t xml:space="preserve">UNIDAD DE EVALUCIÓN </t>
  </si>
  <si>
    <t>PROVEDOR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</si>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</sst>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Q&quot;* #,##0.00_-;\-&quot;Q&quot;* #,##0.00_-;_-&quot;Q&quot;* &quot;-&quot;??_-;_-@_-"/>
    <numFmt numFmtId="168" formatCode="[$Q-100A]#,##0.00"/>
    <numFmt numFmtId="169" formatCode="_-[$Q-100A]* #,##0.00_-;\-[$Q-100A]* #,##0.00_-;_-[$Q-100A]* &quot;-&quot;??_-;_-@_-"/>
    <numFmt numFmtId="174" formatCode="&quot;Q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168" fontId="3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168" fontId="3" fillId="3" borderId="1" xfId="0" applyNumberFormat="1" applyFont="1" applyFill="1" applyBorder="1" applyAlignment="1">
      <alignment horizontal="center"/>
    </xf>
    <xf numFmtId="0" fontId="0" fillId="0" borderId="0" xfId="0"/>
    <xf numFmtId="14" fontId="0" fillId="0" borderId="1" xfId="0" applyNumberFormat="1" applyBorder="1"/>
    <xf numFmtId="169" fontId="0" fillId="0" borderId="1" xfId="0" applyNumberFormat="1" applyBorder="1"/>
    <xf numFmtId="0" fontId="0" fillId="0" borderId="1" xfId="1" applyNumberFormat="1" applyFont="1" applyBorder="1"/>
    <xf numFmtId="14" fontId="0" fillId="2" borderId="1" xfId="0" applyNumberFormat="1" applyFill="1" applyBorder="1"/>
    <xf numFmtId="0" fontId="0" fillId="2" borderId="1" xfId="0" applyFill="1" applyBorder="1"/>
    <xf numFmtId="169" fontId="0" fillId="2" borderId="1" xfId="0" applyNumberFormat="1" applyFill="1" applyBorder="1"/>
    <xf numFmtId="174" fontId="0" fillId="0" borderId="1" xfId="0" applyNumberFormat="1" applyBorder="1"/>
    <xf numFmtId="174" fontId="0" fillId="2" borderId="1" xfId="0" applyNumberFormat="1" applyFill="1" applyBorder="1"/>
    <xf numFmtId="0" fontId="3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wrapText="1"/>
    </xf>
    <xf numFmtId="0" fontId="7" fillId="0" borderId="2" xfId="0" applyFont="1" applyBorder="1" applyAlignment="1">
      <alignment horizontal="center"/>
    </xf>
    <xf numFmtId="0" fontId="4" fillId="4" borderId="1" xfId="0" applyFont="1" applyFill="1" applyBorder="1"/>
    <xf numFmtId="168" fontId="2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8" fontId="3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169" fontId="0" fillId="5" borderId="1" xfId="0" applyNumberFormat="1" applyFill="1" applyBorder="1"/>
    <xf numFmtId="14" fontId="0" fillId="5" borderId="1" xfId="0" applyNumberFormat="1" applyFill="1" applyBorder="1"/>
    <xf numFmtId="174" fontId="0" fillId="5" borderId="1" xfId="0" applyNumberFormat="1" applyFill="1" applyBorder="1"/>
    <xf numFmtId="44" fontId="0" fillId="0" borderId="1" xfId="1" applyFont="1" applyBorder="1"/>
    <xf numFmtId="44" fontId="0" fillId="5" borderId="1" xfId="0" applyNumberFormat="1" applyFill="1" applyBorder="1"/>
    <xf numFmtId="44" fontId="0" fillId="0" borderId="1" xfId="0" applyNumberFormat="1" applyBorder="1"/>
    <xf numFmtId="0" fontId="8" fillId="4" borderId="1" xfId="0" applyFont="1" applyFill="1" applyBorder="1"/>
    <xf numFmtId="0" fontId="6" fillId="5" borderId="1" xfId="0" applyFont="1" applyFill="1" applyBorder="1"/>
    <xf numFmtId="0" fontId="0" fillId="0" borderId="0" xfId="0" applyFill="1"/>
    <xf numFmtId="0" fontId="8" fillId="6" borderId="1" xfId="0" applyFont="1" applyFill="1" applyBorder="1"/>
    <xf numFmtId="0" fontId="6" fillId="7" borderId="1" xfId="0" applyFont="1" applyFill="1" applyBorder="1"/>
    <xf numFmtId="0" fontId="4" fillId="6" borderId="1" xfId="0" applyFont="1" applyFill="1" applyBorder="1"/>
    <xf numFmtId="168" fontId="2" fillId="6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4" fontId="0" fillId="7" borderId="1" xfId="0" applyNumberFormat="1" applyFill="1" applyBorder="1"/>
    <xf numFmtId="0" fontId="0" fillId="7" borderId="1" xfId="0" applyFill="1" applyBorder="1"/>
    <xf numFmtId="169" fontId="0" fillId="7" borderId="1" xfId="0" applyNumberFormat="1" applyFill="1" applyBorder="1"/>
    <xf numFmtId="174" fontId="0" fillId="7" borderId="1" xfId="0" applyNumberForma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7</xdr:row>
      <xdr:rowOff>166687</xdr:rowOff>
    </xdr:from>
    <xdr:to>
      <xdr:col>16</xdr:col>
      <xdr:colOff>761999</xdr:colOff>
      <xdr:row>36</xdr:row>
      <xdr:rowOff>171449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EA324DF1-0BB5-7AF5-9235-DFB6F17A8DCD}"/>
            </a:ext>
          </a:extLst>
        </xdr:cNvPr>
        <xdr:cNvSpPr/>
      </xdr:nvSpPr>
      <xdr:spPr>
        <a:xfrm>
          <a:off x="11644312" y="1252537"/>
          <a:ext cx="4567237" cy="5253037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131973</xdr:colOff>
      <xdr:row>1</xdr:row>
      <xdr:rowOff>57380</xdr:rowOff>
    </xdr:from>
    <xdr:to>
      <xdr:col>16</xdr:col>
      <xdr:colOff>113191</xdr:colOff>
      <xdr:row>30</xdr:row>
      <xdr:rowOff>11598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DC975955-4699-4002-B0F0-1E6C81E419CF}"/>
            </a:ext>
          </a:extLst>
        </xdr:cNvPr>
        <xdr:cNvSpPr/>
      </xdr:nvSpPr>
      <xdr:spPr>
        <a:xfrm>
          <a:off x="11166055" y="240994"/>
          <a:ext cx="4560103" cy="5382321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166688</xdr:colOff>
      <xdr:row>3</xdr:row>
      <xdr:rowOff>128587</xdr:rowOff>
    </xdr:from>
    <xdr:to>
      <xdr:col>16</xdr:col>
      <xdr:colOff>154791</xdr:colOff>
      <xdr:row>32</xdr:row>
      <xdr:rowOff>167383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49317A5-8049-4293-9BE3-385B734E0C16}"/>
            </a:ext>
          </a:extLst>
        </xdr:cNvPr>
        <xdr:cNvSpPr/>
      </xdr:nvSpPr>
      <xdr:spPr>
        <a:xfrm>
          <a:off x="11139488" y="671512"/>
          <a:ext cx="4560103" cy="5382321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B4E07-901D-4AB9-BC26-36CE17F1B8CF}">
  <sheetPr>
    <tabColor theme="4" tint="0.39997558519241921"/>
  </sheetPr>
  <dimension ref="A2:Q37"/>
  <sheetViews>
    <sheetView zoomScale="74" workbookViewId="0">
      <selection activeCell="E35" sqref="E35"/>
    </sheetView>
  </sheetViews>
  <sheetFormatPr baseColWidth="10" defaultRowHeight="14.25" x14ac:dyDescent="0.45"/>
  <cols>
    <col min="1" max="1" width="31.06640625" bestFit="1" customWidth="1"/>
    <col min="2" max="2" width="37.33203125" bestFit="1" customWidth="1"/>
    <col min="4" max="4" width="11.73046875" bestFit="1" customWidth="1"/>
    <col min="7" max="7" width="11.73046875" bestFit="1" customWidth="1"/>
    <col min="8" max="8" width="11.59765625" bestFit="1" customWidth="1"/>
    <col min="9" max="9" width="12.19921875" bestFit="1" customWidth="1"/>
    <col min="10" max="10" width="11.73046875" bestFit="1" customWidth="1"/>
  </cols>
  <sheetData>
    <row r="2" spans="1:17" x14ac:dyDescent="0.45">
      <c r="A2" s="15" t="s">
        <v>0</v>
      </c>
      <c r="B2" s="16" t="s">
        <v>5</v>
      </c>
    </row>
    <row r="3" spans="1:17" x14ac:dyDescent="0.45">
      <c r="A3" s="18" t="s">
        <v>1</v>
      </c>
      <c r="B3" s="19" t="s">
        <v>6</v>
      </c>
    </row>
    <row r="4" spans="1:17" ht="28.15" x14ac:dyDescent="0.45">
      <c r="A4" s="15" t="s">
        <v>2</v>
      </c>
      <c r="B4" s="16" t="s">
        <v>7</v>
      </c>
    </row>
    <row r="5" spans="1:17" x14ac:dyDescent="0.45">
      <c r="A5" s="18" t="s">
        <v>3</v>
      </c>
      <c r="B5" s="19" t="s">
        <v>8</v>
      </c>
    </row>
    <row r="6" spans="1:17" x14ac:dyDescent="0.45">
      <c r="A6" s="15" t="s">
        <v>4</v>
      </c>
      <c r="B6" s="17" t="s">
        <v>9</v>
      </c>
    </row>
    <row r="7" spans="1:17" x14ac:dyDescent="0.45">
      <c r="A7" s="20"/>
      <c r="B7" s="21"/>
    </row>
    <row r="8" spans="1:17" ht="15.75" x14ac:dyDescent="0.5">
      <c r="A8" s="22" t="s">
        <v>17</v>
      </c>
      <c r="B8" s="22"/>
      <c r="C8" s="22"/>
      <c r="D8" s="22"/>
      <c r="E8" s="22"/>
      <c r="F8" s="22"/>
      <c r="G8" s="22"/>
      <c r="H8" s="22"/>
      <c r="I8" s="22"/>
      <c r="J8" s="22"/>
    </row>
    <row r="9" spans="1:17" x14ac:dyDescent="0.45">
      <c r="A9" s="4"/>
      <c r="B9" s="5" t="s">
        <v>10</v>
      </c>
      <c r="C9" s="5"/>
      <c r="D9" s="5"/>
      <c r="E9" s="5" t="s">
        <v>11</v>
      </c>
      <c r="F9" s="5"/>
      <c r="G9" s="5"/>
      <c r="H9" s="5" t="s">
        <v>12</v>
      </c>
      <c r="I9" s="5"/>
      <c r="J9" s="5"/>
      <c r="L9" s="6"/>
      <c r="M9" s="6"/>
      <c r="N9" s="6"/>
      <c r="O9" s="6"/>
      <c r="P9" s="6"/>
      <c r="Q9" s="6"/>
    </row>
    <row r="10" spans="1:17" x14ac:dyDescent="0.45">
      <c r="A10" s="2" t="s">
        <v>13</v>
      </c>
      <c r="B10" s="3" t="s">
        <v>14</v>
      </c>
      <c r="C10" s="3" t="s">
        <v>15</v>
      </c>
      <c r="D10" s="3" t="s">
        <v>16</v>
      </c>
      <c r="E10" s="3" t="s">
        <v>14</v>
      </c>
      <c r="F10" s="3" t="s">
        <v>15</v>
      </c>
      <c r="G10" s="3" t="s">
        <v>16</v>
      </c>
      <c r="H10" s="3" t="s">
        <v>14</v>
      </c>
      <c r="I10" s="3" t="s">
        <v>15</v>
      </c>
      <c r="J10" s="3" t="s">
        <v>16</v>
      </c>
      <c r="L10" s="6"/>
      <c r="M10" s="6"/>
      <c r="N10" s="6"/>
      <c r="O10" s="6"/>
      <c r="P10" s="6"/>
      <c r="Q10" s="6"/>
    </row>
    <row r="11" spans="1:17" x14ac:dyDescent="0.45">
      <c r="A11" s="7">
        <v>46174</v>
      </c>
      <c r="B11" s="1">
        <v>20</v>
      </c>
      <c r="C11" s="8">
        <f>850/1.12</f>
        <v>758.92857142857133</v>
      </c>
      <c r="D11" s="8">
        <f>B11*C11</f>
        <v>15178.571428571428</v>
      </c>
      <c r="E11" s="9"/>
      <c r="F11" s="8"/>
      <c r="G11" s="8"/>
      <c r="H11" s="9">
        <f>B11</f>
        <v>20</v>
      </c>
      <c r="I11" s="8">
        <f>C11</f>
        <v>758.92857142857133</v>
      </c>
      <c r="J11" s="8">
        <f>D11</f>
        <v>15178.571428571428</v>
      </c>
      <c r="L11" s="6"/>
      <c r="M11" s="6"/>
      <c r="N11" s="6"/>
      <c r="O11" s="6"/>
      <c r="P11" s="6"/>
      <c r="Q11" s="6"/>
    </row>
    <row r="12" spans="1:17" x14ac:dyDescent="0.45">
      <c r="A12" s="10">
        <v>46175</v>
      </c>
      <c r="B12" s="11"/>
      <c r="C12" s="12"/>
      <c r="D12" s="12"/>
      <c r="E12" s="11">
        <v>12</v>
      </c>
      <c r="F12" s="12">
        <f>I11</f>
        <v>758.92857142857133</v>
      </c>
      <c r="G12" s="12">
        <f>F12*E12</f>
        <v>9107.1428571428551</v>
      </c>
      <c r="H12" s="11">
        <f>H11-E12</f>
        <v>8</v>
      </c>
      <c r="I12" s="12">
        <f>I11</f>
        <v>758.92857142857133</v>
      </c>
      <c r="J12" s="12">
        <f>I12*H12</f>
        <v>6071.4285714285706</v>
      </c>
      <c r="L12" s="6"/>
      <c r="M12" s="6"/>
      <c r="N12" s="6"/>
      <c r="O12" s="6"/>
      <c r="P12" s="6"/>
      <c r="Q12" s="6"/>
    </row>
    <row r="13" spans="1:17" x14ac:dyDescent="0.45">
      <c r="A13" s="7">
        <v>46181</v>
      </c>
      <c r="B13" s="1">
        <v>15</v>
      </c>
      <c r="C13" s="8">
        <f>890/1.12</f>
        <v>794.64285714285711</v>
      </c>
      <c r="D13" s="8">
        <f>C13*B13</f>
        <v>11919.642857142857</v>
      </c>
      <c r="E13" s="1"/>
      <c r="F13" s="1"/>
      <c r="G13" s="1"/>
      <c r="H13" s="1">
        <f>H12</f>
        <v>8</v>
      </c>
      <c r="I13" s="8">
        <f>I12</f>
        <v>758.92857142857133</v>
      </c>
      <c r="J13" s="8">
        <f>J12</f>
        <v>6071.4285714285706</v>
      </c>
      <c r="L13" s="6"/>
      <c r="M13" s="6"/>
      <c r="N13" s="6"/>
      <c r="O13" s="6"/>
      <c r="P13" s="6"/>
      <c r="Q13" s="6"/>
    </row>
    <row r="14" spans="1:17" x14ac:dyDescent="0.45">
      <c r="A14" s="11"/>
      <c r="B14" s="11"/>
      <c r="C14" s="11"/>
      <c r="D14" s="11"/>
      <c r="E14" s="11"/>
      <c r="F14" s="11"/>
      <c r="G14" s="11"/>
      <c r="H14" s="11">
        <f>B13</f>
        <v>15</v>
      </c>
      <c r="I14" s="12">
        <f>C13</f>
        <v>794.64285714285711</v>
      </c>
      <c r="J14" s="12">
        <f>D13</f>
        <v>11919.642857142857</v>
      </c>
      <c r="L14" s="6"/>
      <c r="M14" s="6"/>
      <c r="N14" s="6"/>
      <c r="O14" s="6"/>
      <c r="P14" s="6"/>
      <c r="Q14" s="6"/>
    </row>
    <row r="15" spans="1:17" x14ac:dyDescent="0.45">
      <c r="A15" s="7">
        <v>46189</v>
      </c>
      <c r="B15" s="1"/>
      <c r="C15" s="1"/>
      <c r="D15" s="1"/>
      <c r="E15" s="1">
        <v>8</v>
      </c>
      <c r="F15" s="8">
        <f>F12</f>
        <v>758.92857142857133</v>
      </c>
      <c r="G15" s="8">
        <f>E15*F15</f>
        <v>6071.4285714285706</v>
      </c>
      <c r="H15" s="1"/>
      <c r="I15" s="1"/>
      <c r="J15" s="1"/>
      <c r="L15" s="6"/>
      <c r="M15" s="6"/>
      <c r="N15" s="6"/>
      <c r="O15" s="6"/>
      <c r="P15" s="6"/>
      <c r="Q15" s="6"/>
    </row>
    <row r="16" spans="1:17" x14ac:dyDescent="0.45">
      <c r="A16" s="10"/>
      <c r="B16" s="11"/>
      <c r="C16" s="11"/>
      <c r="D16" s="11"/>
      <c r="E16" s="11">
        <v>2</v>
      </c>
      <c r="F16" s="12">
        <f>C13</f>
        <v>794.64285714285711</v>
      </c>
      <c r="G16" s="12">
        <f>E16*F16</f>
        <v>1589.2857142857142</v>
      </c>
      <c r="H16" s="11">
        <v>13</v>
      </c>
      <c r="I16" s="12">
        <f>F16</f>
        <v>794.64285714285711</v>
      </c>
      <c r="J16" s="12">
        <f>I16*H16</f>
        <v>10330.357142857143</v>
      </c>
      <c r="L16" s="6"/>
      <c r="M16" s="6"/>
      <c r="N16" s="6"/>
      <c r="O16" s="6"/>
      <c r="P16" s="6"/>
      <c r="Q16" s="6"/>
    </row>
    <row r="17" spans="1:17" x14ac:dyDescent="0.45">
      <c r="A17" s="7">
        <v>46201</v>
      </c>
      <c r="B17" s="1"/>
      <c r="C17" s="1"/>
      <c r="D17" s="1"/>
      <c r="E17" s="1">
        <v>8</v>
      </c>
      <c r="F17" s="8">
        <f>F16</f>
        <v>794.64285714285711</v>
      </c>
      <c r="G17" s="8">
        <f>E17*F17</f>
        <v>6357.1428571428569</v>
      </c>
      <c r="H17" s="1">
        <v>5</v>
      </c>
      <c r="I17" s="8">
        <f>I16</f>
        <v>794.64285714285711</v>
      </c>
      <c r="J17" s="8">
        <f>I17*H17</f>
        <v>3973.2142857142853</v>
      </c>
      <c r="L17" s="6"/>
      <c r="M17" s="6"/>
      <c r="N17" s="6"/>
      <c r="O17" s="6"/>
      <c r="P17" s="6"/>
      <c r="Q17" s="6"/>
    </row>
    <row r="18" spans="1:17" x14ac:dyDescent="0.45">
      <c r="L18" s="6"/>
      <c r="M18" s="6"/>
      <c r="N18" s="6"/>
      <c r="O18" s="6"/>
      <c r="P18" s="6"/>
      <c r="Q18" s="6"/>
    </row>
    <row r="19" spans="1:17" ht="15.75" x14ac:dyDescent="0.5">
      <c r="A19" s="22" t="s">
        <v>18</v>
      </c>
      <c r="B19" s="22"/>
      <c r="C19" s="22"/>
      <c r="D19" s="22"/>
      <c r="E19" s="22"/>
      <c r="F19" s="22"/>
      <c r="G19" s="22"/>
      <c r="H19" s="22"/>
      <c r="I19" s="22"/>
      <c r="J19" s="22"/>
      <c r="L19" s="6"/>
      <c r="M19" s="6"/>
      <c r="N19" s="6"/>
      <c r="O19" s="6"/>
      <c r="P19" s="6"/>
      <c r="Q19" s="6"/>
    </row>
    <row r="20" spans="1:17" x14ac:dyDescent="0.45">
      <c r="A20" s="4"/>
      <c r="B20" s="5" t="s">
        <v>10</v>
      </c>
      <c r="C20" s="5"/>
      <c r="D20" s="5"/>
      <c r="E20" s="5" t="s">
        <v>11</v>
      </c>
      <c r="F20" s="5"/>
      <c r="G20" s="5"/>
      <c r="H20" s="5" t="s">
        <v>12</v>
      </c>
      <c r="I20" s="5"/>
      <c r="J20" s="5"/>
      <c r="L20" s="6"/>
      <c r="M20" s="6"/>
      <c r="N20" s="6"/>
      <c r="O20" s="6"/>
      <c r="P20" s="6"/>
      <c r="Q20" s="6"/>
    </row>
    <row r="21" spans="1:17" x14ac:dyDescent="0.45">
      <c r="A21" s="2" t="s">
        <v>13</v>
      </c>
      <c r="B21" s="3" t="s">
        <v>14</v>
      </c>
      <c r="C21" s="3" t="s">
        <v>15</v>
      </c>
      <c r="D21" s="3" t="s">
        <v>16</v>
      </c>
      <c r="E21" s="3" t="s">
        <v>14</v>
      </c>
      <c r="F21" s="3" t="s">
        <v>15</v>
      </c>
      <c r="G21" s="3" t="s">
        <v>16</v>
      </c>
      <c r="H21" s="3" t="s">
        <v>14</v>
      </c>
      <c r="I21" s="3" t="s">
        <v>15</v>
      </c>
      <c r="J21" s="3" t="s">
        <v>16</v>
      </c>
      <c r="L21" s="6"/>
      <c r="M21" s="6"/>
      <c r="N21" s="6"/>
      <c r="O21" s="6"/>
      <c r="P21" s="6"/>
      <c r="Q21" s="6"/>
    </row>
    <row r="22" spans="1:17" x14ac:dyDescent="0.45">
      <c r="A22" s="7">
        <v>46184</v>
      </c>
      <c r="B22" s="1">
        <v>18</v>
      </c>
      <c r="C22" s="13">
        <f>830/1.12</f>
        <v>741.07142857142856</v>
      </c>
      <c r="D22" s="13">
        <f>B22*C22</f>
        <v>13339.285714285714</v>
      </c>
      <c r="E22" s="1"/>
      <c r="F22" s="1"/>
      <c r="G22" s="1"/>
      <c r="H22" s="1">
        <f>B22</f>
        <v>18</v>
      </c>
      <c r="I22" s="13">
        <f>C22</f>
        <v>741.07142857142856</v>
      </c>
      <c r="J22" s="13">
        <f>D22</f>
        <v>13339.285714285714</v>
      </c>
      <c r="L22" s="6"/>
      <c r="M22" s="6"/>
      <c r="N22" s="6"/>
      <c r="O22" s="6"/>
      <c r="P22" s="6"/>
      <c r="Q22" s="6"/>
    </row>
    <row r="23" spans="1:17" x14ac:dyDescent="0.45">
      <c r="A23" s="10">
        <v>46188</v>
      </c>
      <c r="B23" s="11"/>
      <c r="C23" s="11"/>
      <c r="D23" s="11"/>
      <c r="E23" s="11">
        <v>10</v>
      </c>
      <c r="F23" s="14">
        <f>C22</f>
        <v>741.07142857142856</v>
      </c>
      <c r="G23" s="14">
        <f>F23*E23</f>
        <v>7410.7142857142853</v>
      </c>
      <c r="H23" s="11">
        <f>B22-E23</f>
        <v>8</v>
      </c>
      <c r="I23" s="14">
        <f>I22</f>
        <v>741.07142857142856</v>
      </c>
      <c r="J23" s="14">
        <f>H23*I23</f>
        <v>5928.5714285714284</v>
      </c>
      <c r="L23" s="6"/>
      <c r="M23" s="6"/>
      <c r="N23" s="6"/>
      <c r="O23" s="6"/>
      <c r="P23" s="6"/>
      <c r="Q23" s="6"/>
    </row>
    <row r="24" spans="1:17" x14ac:dyDescent="0.45">
      <c r="L24" s="6"/>
      <c r="M24" s="6"/>
      <c r="N24" s="6"/>
      <c r="O24" s="6"/>
      <c r="P24" s="6"/>
      <c r="Q24" s="6"/>
    </row>
    <row r="25" spans="1:17" ht="15.75" x14ac:dyDescent="0.5">
      <c r="A25" s="22" t="s">
        <v>19</v>
      </c>
      <c r="B25" s="22"/>
      <c r="C25" s="22"/>
      <c r="D25" s="22"/>
      <c r="E25" s="22"/>
      <c r="F25" s="22"/>
      <c r="G25" s="22"/>
      <c r="H25" s="22"/>
      <c r="I25" s="22"/>
      <c r="J25" s="22"/>
      <c r="L25" s="6"/>
      <c r="M25" s="6"/>
      <c r="N25" s="6"/>
      <c r="O25" s="6"/>
      <c r="P25" s="6"/>
      <c r="Q25" s="6"/>
    </row>
    <row r="26" spans="1:17" x14ac:dyDescent="0.45">
      <c r="A26" s="4"/>
      <c r="B26" s="5" t="s">
        <v>10</v>
      </c>
      <c r="C26" s="5"/>
      <c r="D26" s="5"/>
      <c r="E26" s="5" t="s">
        <v>11</v>
      </c>
      <c r="F26" s="5"/>
      <c r="G26" s="5"/>
      <c r="H26" s="5" t="s">
        <v>12</v>
      </c>
      <c r="I26" s="5"/>
      <c r="J26" s="5"/>
      <c r="L26" s="6"/>
      <c r="M26" s="6"/>
      <c r="N26" s="6"/>
      <c r="O26" s="6"/>
      <c r="P26" s="6"/>
      <c r="Q26" s="6"/>
    </row>
    <row r="27" spans="1:17" x14ac:dyDescent="0.45">
      <c r="A27" s="2" t="s">
        <v>13</v>
      </c>
      <c r="B27" s="3" t="s">
        <v>14</v>
      </c>
      <c r="C27" s="3" t="s">
        <v>15</v>
      </c>
      <c r="D27" s="3" t="s">
        <v>16</v>
      </c>
      <c r="E27" s="3" t="s">
        <v>14</v>
      </c>
      <c r="F27" s="3" t="s">
        <v>15</v>
      </c>
      <c r="G27" s="3" t="s">
        <v>16</v>
      </c>
      <c r="H27" s="3" t="s">
        <v>14</v>
      </c>
      <c r="I27" s="3" t="s">
        <v>15</v>
      </c>
      <c r="J27" s="3" t="s">
        <v>16</v>
      </c>
      <c r="L27" s="6"/>
      <c r="M27" s="6"/>
      <c r="N27" s="6"/>
      <c r="O27" s="6"/>
      <c r="P27" s="6"/>
      <c r="Q27" s="6"/>
    </row>
    <row r="28" spans="1:17" x14ac:dyDescent="0.45">
      <c r="A28" s="7">
        <v>46185</v>
      </c>
      <c r="B28" s="1">
        <v>16</v>
      </c>
      <c r="C28" s="8">
        <f>860/1.12</f>
        <v>767.85714285714278</v>
      </c>
      <c r="D28" s="8">
        <f>B28*C28</f>
        <v>12285.714285714284</v>
      </c>
      <c r="E28" s="1"/>
      <c r="F28" s="1"/>
      <c r="G28" s="1"/>
      <c r="H28" s="1">
        <f>B28</f>
        <v>16</v>
      </c>
      <c r="I28" s="8">
        <f>C28</f>
        <v>767.85714285714278</v>
      </c>
      <c r="J28" s="8">
        <f>D28</f>
        <v>12285.714285714284</v>
      </c>
      <c r="L28" s="6"/>
      <c r="M28" s="6"/>
      <c r="N28" s="6"/>
      <c r="O28" s="6"/>
      <c r="P28" s="6"/>
      <c r="Q28" s="6"/>
    </row>
    <row r="29" spans="1:17" x14ac:dyDescent="0.45">
      <c r="L29" s="6"/>
      <c r="M29" s="6"/>
      <c r="N29" s="6"/>
      <c r="O29" s="6"/>
      <c r="P29" s="6"/>
      <c r="Q29" s="6"/>
    </row>
    <row r="30" spans="1:17" x14ac:dyDescent="0.45">
      <c r="L30" s="6"/>
      <c r="M30" s="6"/>
      <c r="N30" s="6"/>
      <c r="O30" s="6"/>
      <c r="P30" s="6"/>
      <c r="Q30" s="6"/>
    </row>
    <row r="31" spans="1:17" x14ac:dyDescent="0.45">
      <c r="L31" s="6"/>
      <c r="M31" s="6"/>
      <c r="N31" s="6"/>
      <c r="O31" s="6"/>
      <c r="P31" s="6"/>
      <c r="Q31" s="6"/>
    </row>
    <row r="32" spans="1:17" x14ac:dyDescent="0.45">
      <c r="L32" s="6"/>
      <c r="M32" s="6"/>
      <c r="N32" s="6"/>
      <c r="O32" s="6"/>
      <c r="P32" s="6"/>
      <c r="Q32" s="6"/>
    </row>
    <row r="33" spans="12:17" x14ac:dyDescent="0.45">
      <c r="L33" s="6"/>
      <c r="M33" s="6"/>
      <c r="N33" s="6"/>
      <c r="O33" s="6"/>
      <c r="P33" s="6"/>
      <c r="Q33" s="6"/>
    </row>
    <row r="34" spans="12:17" x14ac:dyDescent="0.45">
      <c r="L34" s="6"/>
      <c r="M34" s="6"/>
      <c r="N34" s="6"/>
      <c r="O34" s="6"/>
      <c r="P34" s="6"/>
      <c r="Q34" s="6"/>
    </row>
    <row r="35" spans="12:17" x14ac:dyDescent="0.45">
      <c r="L35" s="6"/>
      <c r="M35" s="6"/>
      <c r="N35" s="6"/>
      <c r="O35" s="6"/>
      <c r="P35" s="6"/>
      <c r="Q35" s="6"/>
    </row>
    <row r="36" spans="12:17" x14ac:dyDescent="0.45">
      <c r="L36" s="6"/>
      <c r="M36" s="6"/>
      <c r="N36" s="6"/>
      <c r="O36" s="6"/>
      <c r="P36" s="6"/>
      <c r="Q36" s="6"/>
    </row>
    <row r="37" spans="12:17" x14ac:dyDescent="0.45">
      <c r="L37" s="6"/>
      <c r="M37" s="6"/>
      <c r="N37" s="6"/>
      <c r="O37" s="6"/>
      <c r="P37" s="6"/>
      <c r="Q37" s="6"/>
    </row>
  </sheetData>
  <mergeCells count="13">
    <mergeCell ref="A8:J8"/>
    <mergeCell ref="A19:J19"/>
    <mergeCell ref="A25:J25"/>
    <mergeCell ref="B9:D9"/>
    <mergeCell ref="E9:G9"/>
    <mergeCell ref="H9:J9"/>
    <mergeCell ref="L9:Q37"/>
    <mergeCell ref="B20:D20"/>
    <mergeCell ref="E20:G20"/>
    <mergeCell ref="H20:J20"/>
    <mergeCell ref="B26:D26"/>
    <mergeCell ref="E26:G26"/>
    <mergeCell ref="H26:J2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BA78-9FC4-4EFE-84F6-2F870FD530D6}">
  <sheetPr>
    <tabColor theme="6" tint="-0.499984740745262"/>
  </sheetPr>
  <dimension ref="A2:J29"/>
  <sheetViews>
    <sheetView tabSelected="1" zoomScale="83" workbookViewId="0">
      <selection activeCell="A2" sqref="A2:B6"/>
    </sheetView>
  </sheetViews>
  <sheetFormatPr baseColWidth="10" defaultRowHeight="14.25" x14ac:dyDescent="0.45"/>
  <cols>
    <col min="1" max="1" width="32.9296875" bestFit="1" customWidth="1"/>
    <col min="2" max="2" width="36.06640625" bestFit="1" customWidth="1"/>
  </cols>
  <sheetData>
    <row r="2" spans="1:10" ht="15.75" x14ac:dyDescent="0.5">
      <c r="A2" s="34" t="s">
        <v>0</v>
      </c>
      <c r="B2" s="34" t="s">
        <v>20</v>
      </c>
    </row>
    <row r="3" spans="1:10" ht="15.75" x14ac:dyDescent="0.5">
      <c r="A3" s="35" t="s">
        <v>21</v>
      </c>
      <c r="B3" s="35" t="s">
        <v>22</v>
      </c>
    </row>
    <row r="4" spans="1:10" ht="15.75" x14ac:dyDescent="0.5">
      <c r="A4" s="34" t="s">
        <v>23</v>
      </c>
      <c r="B4" s="34" t="s">
        <v>7</v>
      </c>
      <c r="D4" s="36"/>
    </row>
    <row r="5" spans="1:10" ht="15.75" x14ac:dyDescent="0.5">
      <c r="A5" s="35" t="s">
        <v>3</v>
      </c>
      <c r="B5" s="35" t="s">
        <v>8</v>
      </c>
    </row>
    <row r="6" spans="1:10" ht="15.75" x14ac:dyDescent="0.5">
      <c r="A6" s="34" t="s">
        <v>24</v>
      </c>
      <c r="B6" s="34" t="s">
        <v>9</v>
      </c>
    </row>
    <row r="8" spans="1:10" x14ac:dyDescent="0.45">
      <c r="A8" s="23"/>
      <c r="B8" s="24" t="s">
        <v>10</v>
      </c>
      <c r="C8" s="24"/>
      <c r="D8" s="24"/>
      <c r="E8" s="24" t="s">
        <v>11</v>
      </c>
      <c r="F8" s="24"/>
      <c r="G8" s="24"/>
      <c r="H8" s="24" t="s">
        <v>12</v>
      </c>
      <c r="I8" s="24"/>
      <c r="J8" s="24"/>
    </row>
    <row r="9" spans="1:10" x14ac:dyDescent="0.45">
      <c r="A9" s="25" t="s">
        <v>13</v>
      </c>
      <c r="B9" s="26" t="s">
        <v>14</v>
      </c>
      <c r="C9" s="26" t="s">
        <v>15</v>
      </c>
      <c r="D9" s="26" t="s">
        <v>16</v>
      </c>
      <c r="E9" s="26" t="s">
        <v>14</v>
      </c>
      <c r="F9" s="26" t="s">
        <v>15</v>
      </c>
      <c r="G9" s="26" t="s">
        <v>16</v>
      </c>
      <c r="H9" s="26" t="s">
        <v>14</v>
      </c>
      <c r="I9" s="26" t="s">
        <v>15</v>
      </c>
      <c r="J9" s="26" t="s">
        <v>16</v>
      </c>
    </row>
    <row r="10" spans="1:10" x14ac:dyDescent="0.45">
      <c r="A10" s="7">
        <v>46174</v>
      </c>
      <c r="B10" s="1">
        <v>20</v>
      </c>
      <c r="C10" s="13">
        <f>850/1.12</f>
        <v>758.92857142857133</v>
      </c>
      <c r="D10" s="13">
        <f>C10*B10</f>
        <v>15178.571428571428</v>
      </c>
      <c r="E10" s="1"/>
      <c r="F10" s="1"/>
      <c r="G10" s="1"/>
      <c r="H10" s="1">
        <v>20</v>
      </c>
      <c r="I10" s="13">
        <f>C10</f>
        <v>758.92857142857133</v>
      </c>
      <c r="J10" s="13">
        <f>D10</f>
        <v>15178.571428571428</v>
      </c>
    </row>
    <row r="11" spans="1:10" x14ac:dyDescent="0.45">
      <c r="A11" s="29">
        <v>46175</v>
      </c>
      <c r="B11" s="27"/>
      <c r="C11" s="27"/>
      <c r="D11" s="27"/>
      <c r="E11" s="27">
        <v>12</v>
      </c>
      <c r="F11" s="30">
        <f>C10</f>
        <v>758.92857142857133</v>
      </c>
      <c r="G11" s="30">
        <f>E11*F11</f>
        <v>9107.1428571428551</v>
      </c>
      <c r="H11" s="27">
        <v>8</v>
      </c>
      <c r="I11" s="30">
        <f>F11</f>
        <v>758.92857142857133</v>
      </c>
      <c r="J11" s="30">
        <f>I11*H11</f>
        <v>6071.4285714285706</v>
      </c>
    </row>
    <row r="12" spans="1:10" x14ac:dyDescent="0.45">
      <c r="A12" s="7">
        <v>46181</v>
      </c>
      <c r="B12" s="1">
        <v>15</v>
      </c>
      <c r="C12" s="8">
        <f>890/1.12</f>
        <v>794.64285714285711</v>
      </c>
      <c r="D12" s="8">
        <f>C12*B12</f>
        <v>11919.642857142857</v>
      </c>
      <c r="E12" s="1"/>
      <c r="F12" s="1"/>
      <c r="G12" s="1"/>
      <c r="H12" s="1">
        <f>H11</f>
        <v>8</v>
      </c>
      <c r="I12" s="8">
        <f>I11</f>
        <v>758.92857142857133</v>
      </c>
      <c r="J12" s="8">
        <f>J11</f>
        <v>6071.4285714285706</v>
      </c>
    </row>
    <row r="13" spans="1:10" x14ac:dyDescent="0.45">
      <c r="A13" s="29"/>
      <c r="B13" s="27"/>
      <c r="C13" s="27"/>
      <c r="D13" s="27"/>
      <c r="E13" s="27"/>
      <c r="F13" s="27"/>
      <c r="G13" s="27"/>
      <c r="H13" s="27">
        <f>B12</f>
        <v>15</v>
      </c>
      <c r="I13" s="28">
        <f>C12</f>
        <v>794.64285714285711</v>
      </c>
      <c r="J13" s="28">
        <f>D12</f>
        <v>11919.642857142857</v>
      </c>
    </row>
    <row r="14" spans="1:10" x14ac:dyDescent="0.45">
      <c r="A14" s="7">
        <v>46189</v>
      </c>
      <c r="B14" s="1"/>
      <c r="C14" s="1"/>
      <c r="D14" s="1"/>
      <c r="E14" s="1">
        <v>10</v>
      </c>
      <c r="F14" s="31">
        <f>890/1.12</f>
        <v>794.64285714285711</v>
      </c>
      <c r="G14" s="31">
        <f>F14*E14</f>
        <v>7946.4285714285706</v>
      </c>
      <c r="H14" s="1">
        <v>8</v>
      </c>
      <c r="I14" s="31">
        <f>850/1.12</f>
        <v>758.92857142857133</v>
      </c>
      <c r="J14" s="31">
        <f>I14*H14</f>
        <v>6071.4285714285706</v>
      </c>
    </row>
    <row r="15" spans="1:10" x14ac:dyDescent="0.45">
      <c r="A15" s="27"/>
      <c r="B15" s="27"/>
      <c r="C15" s="27"/>
      <c r="D15" s="27"/>
      <c r="E15" s="27"/>
      <c r="F15" s="27"/>
      <c r="G15" s="27"/>
      <c r="H15" s="27">
        <v>5</v>
      </c>
      <c r="I15" s="32">
        <f>F14</f>
        <v>794.64285714285711</v>
      </c>
      <c r="J15" s="32">
        <f>H15*I15</f>
        <v>3973.2142857142853</v>
      </c>
    </row>
    <row r="16" spans="1:10" x14ac:dyDescent="0.45">
      <c r="A16" s="7">
        <v>46201</v>
      </c>
      <c r="B16" s="1"/>
      <c r="C16" s="1"/>
      <c r="D16" s="1"/>
      <c r="E16" s="1">
        <v>5</v>
      </c>
      <c r="F16" s="33">
        <f>F14</f>
        <v>794.64285714285711</v>
      </c>
      <c r="G16" s="33">
        <f>E16*F16</f>
        <v>3973.2142857142853</v>
      </c>
      <c r="H16" s="1"/>
      <c r="I16" s="1"/>
      <c r="J16" s="1"/>
    </row>
    <row r="17" spans="1:10" x14ac:dyDescent="0.45">
      <c r="A17" s="27"/>
      <c r="B17" s="27"/>
      <c r="C17" s="27"/>
      <c r="D17" s="27"/>
      <c r="E17" s="27">
        <v>3</v>
      </c>
      <c r="F17" s="30">
        <f>F11</f>
        <v>758.92857142857133</v>
      </c>
      <c r="G17" s="30">
        <f>E17*F17</f>
        <v>2276.7857142857138</v>
      </c>
      <c r="H17" s="27">
        <v>5</v>
      </c>
      <c r="I17" s="30">
        <f>F17</f>
        <v>758.92857142857133</v>
      </c>
      <c r="J17" s="30">
        <f>H17*I17</f>
        <v>3794.6428571428569</v>
      </c>
    </row>
    <row r="20" spans="1:10" ht="15.75" x14ac:dyDescent="0.5">
      <c r="A20" s="22" t="s">
        <v>18</v>
      </c>
      <c r="B20" s="22"/>
      <c r="C20" s="22"/>
      <c r="D20" s="22"/>
      <c r="E20" s="22"/>
      <c r="F20" s="22"/>
      <c r="G20" s="22"/>
      <c r="H20" s="22"/>
      <c r="I20" s="22"/>
      <c r="J20" s="22"/>
    </row>
    <row r="21" spans="1:10" x14ac:dyDescent="0.45">
      <c r="A21" s="23"/>
      <c r="B21" s="24" t="s">
        <v>10</v>
      </c>
      <c r="C21" s="24"/>
      <c r="D21" s="24"/>
      <c r="E21" s="24" t="s">
        <v>11</v>
      </c>
      <c r="F21" s="24"/>
      <c r="G21" s="24"/>
      <c r="H21" s="24" t="s">
        <v>12</v>
      </c>
      <c r="I21" s="24"/>
      <c r="J21" s="24"/>
    </row>
    <row r="22" spans="1:10" x14ac:dyDescent="0.45">
      <c r="A22" s="25" t="s">
        <v>13</v>
      </c>
      <c r="B22" s="26" t="s">
        <v>14</v>
      </c>
      <c r="C22" s="26" t="s">
        <v>15</v>
      </c>
      <c r="D22" s="26" t="s">
        <v>16</v>
      </c>
      <c r="E22" s="26" t="s">
        <v>14</v>
      </c>
      <c r="F22" s="26" t="s">
        <v>15</v>
      </c>
      <c r="G22" s="26" t="s">
        <v>16</v>
      </c>
      <c r="H22" s="26" t="s">
        <v>14</v>
      </c>
      <c r="I22" s="26" t="s">
        <v>15</v>
      </c>
      <c r="J22" s="26" t="s">
        <v>16</v>
      </c>
    </row>
    <row r="23" spans="1:10" x14ac:dyDescent="0.45">
      <c r="A23" s="7">
        <v>46184</v>
      </c>
      <c r="B23" s="1">
        <v>18</v>
      </c>
      <c r="C23" s="13">
        <f>830/1.12</f>
        <v>741.07142857142856</v>
      </c>
      <c r="D23" s="13">
        <f>B23*C23</f>
        <v>13339.285714285714</v>
      </c>
      <c r="E23" s="1"/>
      <c r="F23" s="1"/>
      <c r="G23" s="1"/>
      <c r="H23" s="1">
        <f>B23</f>
        <v>18</v>
      </c>
      <c r="I23" s="13">
        <f>C23</f>
        <v>741.07142857142856</v>
      </c>
      <c r="J23" s="13">
        <f>D23</f>
        <v>13339.285714285714</v>
      </c>
    </row>
    <row r="24" spans="1:10" x14ac:dyDescent="0.45">
      <c r="A24" s="29">
        <v>46188</v>
      </c>
      <c r="B24" s="27"/>
      <c r="C24" s="27"/>
      <c r="D24" s="27"/>
      <c r="E24" s="27">
        <v>10</v>
      </c>
      <c r="F24" s="30">
        <f>C23</f>
        <v>741.07142857142856</v>
      </c>
      <c r="G24" s="30">
        <f>F24*E24</f>
        <v>7410.7142857142853</v>
      </c>
      <c r="H24" s="27">
        <f>B23-E24</f>
        <v>8</v>
      </c>
      <c r="I24" s="30">
        <f>I23</f>
        <v>741.07142857142856</v>
      </c>
      <c r="J24" s="30">
        <f>H24*I24</f>
        <v>5928.5714285714284</v>
      </c>
    </row>
    <row r="27" spans="1:10" x14ac:dyDescent="0.45">
      <c r="A27" s="23"/>
      <c r="B27" s="24" t="s">
        <v>10</v>
      </c>
      <c r="C27" s="24"/>
      <c r="D27" s="24"/>
      <c r="E27" s="24" t="s">
        <v>11</v>
      </c>
      <c r="F27" s="24"/>
      <c r="G27" s="24"/>
      <c r="H27" s="24" t="s">
        <v>12</v>
      </c>
      <c r="I27" s="24"/>
      <c r="J27" s="24"/>
    </row>
    <row r="28" spans="1:10" x14ac:dyDescent="0.45">
      <c r="A28" s="25" t="s">
        <v>13</v>
      </c>
      <c r="B28" s="26" t="s">
        <v>14</v>
      </c>
      <c r="C28" s="26" t="s">
        <v>15</v>
      </c>
      <c r="D28" s="26" t="s">
        <v>16</v>
      </c>
      <c r="E28" s="26" t="s">
        <v>14</v>
      </c>
      <c r="F28" s="26" t="s">
        <v>15</v>
      </c>
      <c r="G28" s="26" t="s">
        <v>16</v>
      </c>
      <c r="H28" s="26" t="s">
        <v>14</v>
      </c>
      <c r="I28" s="26" t="s">
        <v>15</v>
      </c>
      <c r="J28" s="26" t="s">
        <v>16</v>
      </c>
    </row>
    <row r="29" spans="1:10" x14ac:dyDescent="0.45">
      <c r="A29" s="7">
        <v>46185</v>
      </c>
      <c r="B29" s="1">
        <v>16</v>
      </c>
      <c r="C29" s="8">
        <f>860/1.12</f>
        <v>767.85714285714278</v>
      </c>
      <c r="D29" s="8">
        <f>B29*C29</f>
        <v>12285.714285714284</v>
      </c>
      <c r="E29" s="1"/>
      <c r="F29" s="1"/>
      <c r="G29" s="1"/>
      <c r="H29" s="1">
        <f>B29</f>
        <v>16</v>
      </c>
      <c r="I29" s="8">
        <f>C29</f>
        <v>767.85714285714278</v>
      </c>
      <c r="J29" s="8">
        <f>D29</f>
        <v>12285.714285714284</v>
      </c>
    </row>
  </sheetData>
  <mergeCells count="10">
    <mergeCell ref="B27:D27"/>
    <mergeCell ref="E27:G27"/>
    <mergeCell ref="H27:J27"/>
    <mergeCell ref="B8:D8"/>
    <mergeCell ref="E8:G8"/>
    <mergeCell ref="H8:J8"/>
    <mergeCell ref="A20:J20"/>
    <mergeCell ref="B21:D21"/>
    <mergeCell ref="E21:G21"/>
    <mergeCell ref="H21:J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EFD7-AD75-4E9B-889B-01A009549AFD}">
  <sheetPr>
    <tabColor theme="3" tint="9.9978637043366805E-2"/>
  </sheetPr>
  <dimension ref="A5:J30"/>
  <sheetViews>
    <sheetView zoomScale="78" workbookViewId="0">
      <selection activeCell="F35" sqref="F35"/>
    </sheetView>
  </sheetViews>
  <sheetFormatPr baseColWidth="10" defaultRowHeight="14.25" x14ac:dyDescent="0.45"/>
  <cols>
    <col min="1" max="1" width="32.3984375" bestFit="1" customWidth="1"/>
    <col min="2" max="2" width="35.19921875" bestFit="1" customWidth="1"/>
    <col min="3" max="3" width="10.73046875" bestFit="1" customWidth="1"/>
    <col min="4" max="4" width="11.265625" bestFit="1" customWidth="1"/>
    <col min="10" max="10" width="11.265625" bestFit="1" customWidth="1"/>
  </cols>
  <sheetData>
    <row r="5" spans="1:10" ht="15.75" x14ac:dyDescent="0.5">
      <c r="A5" s="37" t="s">
        <v>0</v>
      </c>
      <c r="B5" s="37" t="s">
        <v>20</v>
      </c>
    </row>
    <row r="6" spans="1:10" ht="15.75" x14ac:dyDescent="0.5">
      <c r="A6" s="38" t="s">
        <v>21</v>
      </c>
      <c r="B6" s="38" t="s">
        <v>25</v>
      </c>
    </row>
    <row r="7" spans="1:10" ht="15.75" x14ac:dyDescent="0.5">
      <c r="A7" s="37" t="s">
        <v>23</v>
      </c>
      <c r="B7" s="37" t="s">
        <v>7</v>
      </c>
    </row>
    <row r="8" spans="1:10" ht="15.75" x14ac:dyDescent="0.5">
      <c r="A8" s="38" t="s">
        <v>3</v>
      </c>
      <c r="B8" s="38" t="s">
        <v>8</v>
      </c>
    </row>
    <row r="9" spans="1:10" ht="15.75" x14ac:dyDescent="0.5">
      <c r="A9" s="37" t="s">
        <v>24</v>
      </c>
      <c r="B9" s="37" t="s">
        <v>9</v>
      </c>
    </row>
    <row r="11" spans="1:10" x14ac:dyDescent="0.45">
      <c r="A11" s="39"/>
      <c r="B11" s="40" t="s">
        <v>10</v>
      </c>
      <c r="C11" s="40"/>
      <c r="D11" s="40"/>
      <c r="E11" s="40" t="s">
        <v>11</v>
      </c>
      <c r="F11" s="40"/>
      <c r="G11" s="40"/>
      <c r="H11" s="40" t="s">
        <v>12</v>
      </c>
      <c r="I11" s="40"/>
      <c r="J11" s="40"/>
    </row>
    <row r="12" spans="1:10" x14ac:dyDescent="0.45">
      <c r="A12" s="41" t="s">
        <v>13</v>
      </c>
      <c r="B12" s="42" t="s">
        <v>14</v>
      </c>
      <c r="C12" s="42" t="s">
        <v>15</v>
      </c>
      <c r="D12" s="42" t="s">
        <v>16</v>
      </c>
      <c r="E12" s="42" t="s">
        <v>14</v>
      </c>
      <c r="F12" s="42" t="s">
        <v>15</v>
      </c>
      <c r="G12" s="42" t="s">
        <v>16</v>
      </c>
      <c r="H12" s="42" t="s">
        <v>14</v>
      </c>
      <c r="I12" s="42" t="s">
        <v>15</v>
      </c>
      <c r="J12" s="42" t="s">
        <v>16</v>
      </c>
    </row>
    <row r="13" spans="1:10" x14ac:dyDescent="0.45">
      <c r="A13" s="7">
        <v>46174</v>
      </c>
      <c r="B13" s="1">
        <v>20</v>
      </c>
      <c r="C13" s="31">
        <f>850/1.12</f>
        <v>758.92857142857133</v>
      </c>
      <c r="D13" s="31">
        <f>B13*C13</f>
        <v>15178.571428571428</v>
      </c>
      <c r="E13" s="1"/>
      <c r="F13" s="1"/>
      <c r="G13" s="1"/>
      <c r="H13" s="1">
        <v>20</v>
      </c>
      <c r="I13" s="33">
        <f>C13</f>
        <v>758.92857142857133</v>
      </c>
      <c r="J13" s="33">
        <f>D13</f>
        <v>15178.571428571428</v>
      </c>
    </row>
    <row r="14" spans="1:10" x14ac:dyDescent="0.45">
      <c r="A14" s="43">
        <v>46175</v>
      </c>
      <c r="B14" s="44"/>
      <c r="C14" s="45"/>
      <c r="D14" s="45"/>
      <c r="E14" s="44">
        <v>12</v>
      </c>
      <c r="F14" s="45">
        <f>I13</f>
        <v>758.92857142857133</v>
      </c>
      <c r="G14" s="45">
        <f>F14*E14</f>
        <v>9107.1428571428551</v>
      </c>
      <c r="H14" s="44">
        <f>H13-E14</f>
        <v>8</v>
      </c>
      <c r="I14" s="45">
        <f>I13</f>
        <v>758.92857142857133</v>
      </c>
      <c r="J14" s="45">
        <f>I14*H14</f>
        <v>6071.4285714285706</v>
      </c>
    </row>
    <row r="15" spans="1:10" x14ac:dyDescent="0.45">
      <c r="A15" s="7">
        <v>46181</v>
      </c>
      <c r="B15" s="1">
        <v>15</v>
      </c>
      <c r="C15" s="8">
        <f>890/1.12</f>
        <v>794.64285714285711</v>
      </c>
      <c r="D15" s="8">
        <f>C15*B15</f>
        <v>11919.642857142857</v>
      </c>
      <c r="E15" s="1"/>
      <c r="F15" s="1"/>
      <c r="G15" s="1"/>
      <c r="H15" s="1">
        <v>23</v>
      </c>
      <c r="I15" s="8">
        <f>(D15+J14)/(8+15)</f>
        <v>782.22049689440985</v>
      </c>
      <c r="J15" s="8">
        <f>H15*I15</f>
        <v>17991.071428571428</v>
      </c>
    </row>
    <row r="16" spans="1:10" x14ac:dyDescent="0.45">
      <c r="A16" s="43">
        <v>46189</v>
      </c>
      <c r="B16" s="44"/>
      <c r="C16" s="44"/>
      <c r="D16" s="44"/>
      <c r="E16" s="44">
        <v>10</v>
      </c>
      <c r="F16" s="45">
        <f>I15</f>
        <v>782.22049689440985</v>
      </c>
      <c r="G16" s="45">
        <f>E16*F16</f>
        <v>7822.2049689440983</v>
      </c>
      <c r="H16" s="44">
        <v>13</v>
      </c>
      <c r="I16" s="45">
        <f>F16</f>
        <v>782.22049689440985</v>
      </c>
      <c r="J16" s="45">
        <f>H16*I16</f>
        <v>10168.866459627328</v>
      </c>
    </row>
    <row r="17" spans="1:10" x14ac:dyDescent="0.45">
      <c r="A17" s="7">
        <v>46201</v>
      </c>
      <c r="B17" s="1"/>
      <c r="C17" s="1"/>
      <c r="D17" s="1"/>
      <c r="E17" s="1">
        <v>8</v>
      </c>
      <c r="F17" s="8">
        <f>F16</f>
        <v>782.22049689440985</v>
      </c>
      <c r="G17" s="8">
        <f>E17*F17</f>
        <v>6257.7639751552788</v>
      </c>
      <c r="H17" s="1">
        <v>5</v>
      </c>
      <c r="I17" s="8">
        <f>I16</f>
        <v>782.22049689440985</v>
      </c>
      <c r="J17" s="8">
        <f>I17*H17</f>
        <v>3911.1024844720491</v>
      </c>
    </row>
    <row r="20" spans="1:10" ht="15.75" x14ac:dyDescent="0.5">
      <c r="A20" s="22" t="s">
        <v>18</v>
      </c>
      <c r="B20" s="22"/>
      <c r="C20" s="22"/>
      <c r="D20" s="22"/>
      <c r="E20" s="22"/>
      <c r="F20" s="22"/>
      <c r="G20" s="22"/>
      <c r="H20" s="22"/>
      <c r="I20" s="22"/>
      <c r="J20" s="22"/>
    </row>
    <row r="21" spans="1:10" x14ac:dyDescent="0.45">
      <c r="A21" s="39"/>
      <c r="B21" s="40" t="s">
        <v>10</v>
      </c>
      <c r="C21" s="40"/>
      <c r="D21" s="40"/>
      <c r="E21" s="40" t="s">
        <v>11</v>
      </c>
      <c r="F21" s="40"/>
      <c r="G21" s="40"/>
      <c r="H21" s="40" t="s">
        <v>12</v>
      </c>
      <c r="I21" s="40"/>
      <c r="J21" s="40"/>
    </row>
    <row r="22" spans="1:10" x14ac:dyDescent="0.45">
      <c r="A22" s="41" t="s">
        <v>13</v>
      </c>
      <c r="B22" s="42" t="s">
        <v>14</v>
      </c>
      <c r="C22" s="42" t="s">
        <v>15</v>
      </c>
      <c r="D22" s="42" t="s">
        <v>16</v>
      </c>
      <c r="E22" s="42" t="s">
        <v>14</v>
      </c>
      <c r="F22" s="42" t="s">
        <v>15</v>
      </c>
      <c r="G22" s="42" t="s">
        <v>16</v>
      </c>
      <c r="H22" s="42" t="s">
        <v>14</v>
      </c>
      <c r="I22" s="42" t="s">
        <v>15</v>
      </c>
      <c r="J22" s="42" t="s">
        <v>16</v>
      </c>
    </row>
    <row r="23" spans="1:10" x14ac:dyDescent="0.45">
      <c r="A23" s="7">
        <v>46184</v>
      </c>
      <c r="B23" s="1">
        <v>18</v>
      </c>
      <c r="C23" s="13">
        <f>830/1.12</f>
        <v>741.07142857142856</v>
      </c>
      <c r="D23" s="13">
        <f>B23*C23</f>
        <v>13339.285714285714</v>
      </c>
      <c r="E23" s="1"/>
      <c r="F23" s="1"/>
      <c r="G23" s="1"/>
      <c r="H23" s="1">
        <f>B23</f>
        <v>18</v>
      </c>
      <c r="I23" s="13">
        <f>C23</f>
        <v>741.07142857142856</v>
      </c>
      <c r="J23" s="13">
        <f>D23</f>
        <v>13339.285714285714</v>
      </c>
    </row>
    <row r="24" spans="1:10" x14ac:dyDescent="0.45">
      <c r="A24" s="43">
        <v>46188</v>
      </c>
      <c r="B24" s="44"/>
      <c r="C24" s="44"/>
      <c r="D24" s="44"/>
      <c r="E24" s="44">
        <v>10</v>
      </c>
      <c r="F24" s="46">
        <f>C23</f>
        <v>741.07142857142856</v>
      </c>
      <c r="G24" s="46">
        <f>F24*E24</f>
        <v>7410.7142857142853</v>
      </c>
      <c r="H24" s="44">
        <f>B23-E24</f>
        <v>8</v>
      </c>
      <c r="I24" s="46">
        <f>I23</f>
        <v>741.07142857142856</v>
      </c>
      <c r="J24" s="46">
        <f>H24*I24</f>
        <v>5928.5714285714284</v>
      </c>
    </row>
    <row r="27" spans="1:10" ht="15.75" x14ac:dyDescent="0.5">
      <c r="A27" s="22" t="s">
        <v>19</v>
      </c>
      <c r="B27" s="22"/>
      <c r="C27" s="22"/>
      <c r="D27" s="22"/>
      <c r="E27" s="22"/>
      <c r="F27" s="22"/>
      <c r="G27" s="22"/>
      <c r="H27" s="22"/>
      <c r="I27" s="22"/>
      <c r="J27" s="22"/>
    </row>
    <row r="28" spans="1:10" x14ac:dyDescent="0.45">
      <c r="A28" s="39"/>
      <c r="B28" s="40" t="s">
        <v>10</v>
      </c>
      <c r="C28" s="40"/>
      <c r="D28" s="40"/>
      <c r="E28" s="40" t="s">
        <v>11</v>
      </c>
      <c r="F28" s="40"/>
      <c r="G28" s="40"/>
      <c r="H28" s="40" t="s">
        <v>12</v>
      </c>
      <c r="I28" s="40"/>
      <c r="J28" s="40"/>
    </row>
    <row r="29" spans="1:10" x14ac:dyDescent="0.45">
      <c r="A29" s="41" t="s">
        <v>13</v>
      </c>
      <c r="B29" s="42" t="s">
        <v>14</v>
      </c>
      <c r="C29" s="42" t="s">
        <v>15</v>
      </c>
      <c r="D29" s="42" t="s">
        <v>16</v>
      </c>
      <c r="E29" s="42" t="s">
        <v>14</v>
      </c>
      <c r="F29" s="42" t="s">
        <v>15</v>
      </c>
      <c r="G29" s="42" t="s">
        <v>16</v>
      </c>
      <c r="H29" s="42" t="s">
        <v>14</v>
      </c>
      <c r="I29" s="42" t="s">
        <v>15</v>
      </c>
      <c r="J29" s="42" t="s">
        <v>16</v>
      </c>
    </row>
    <row r="30" spans="1:10" x14ac:dyDescent="0.45">
      <c r="A30" s="7">
        <v>46185</v>
      </c>
      <c r="B30" s="1">
        <v>16</v>
      </c>
      <c r="C30" s="8">
        <f>860/1.12</f>
        <v>767.85714285714278</v>
      </c>
      <c r="D30" s="8">
        <f>B30*C30</f>
        <v>12285.714285714284</v>
      </c>
      <c r="E30" s="1"/>
      <c r="F30" s="1"/>
      <c r="G30" s="1"/>
      <c r="H30" s="1">
        <f>B30</f>
        <v>16</v>
      </c>
      <c r="I30" s="8">
        <f>C30</f>
        <v>767.85714285714278</v>
      </c>
      <c r="J30" s="8">
        <f>D30</f>
        <v>12285.714285714284</v>
      </c>
    </row>
  </sheetData>
  <mergeCells count="11">
    <mergeCell ref="A27:J27"/>
    <mergeCell ref="B28:D28"/>
    <mergeCell ref="E28:G28"/>
    <mergeCell ref="H28:J28"/>
    <mergeCell ref="B11:D11"/>
    <mergeCell ref="E11:G11"/>
    <mergeCell ref="H11:J11"/>
    <mergeCell ref="A20:J20"/>
    <mergeCell ref="B21:D21"/>
    <mergeCell ref="E21:G21"/>
    <mergeCell ref="H21:J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PEPS</vt:lpstr>
      <vt:lpstr>UEPS</vt:lpstr>
      <vt:lpstr>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Antonio Guamuch Ortíz</dc:creator>
  <cp:lastModifiedBy>Angelo Antonio Guamuch Ortíz</cp:lastModifiedBy>
  <dcterms:created xsi:type="dcterms:W3CDTF">2026-08-06T18:24:31Z</dcterms:created>
  <dcterms:modified xsi:type="dcterms:W3CDTF">2026-08-06T22:10:24Z</dcterms:modified>
</cp:coreProperties>
</file>