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gel\Downloads\"/>
    </mc:Choice>
  </mc:AlternateContent>
  <xr:revisionPtr revIDLastSave="0" documentId="8_{AC3F83F7-82C4-4E8C-810C-9D3A4B5E0BF3}" xr6:coauthVersionLast="47" xr6:coauthVersionMax="47" xr10:uidLastSave="{00000000-0000-0000-0000-000000000000}"/>
  <bookViews>
    <workbookView xWindow="-98" yWindow="-98" windowWidth="21795" windowHeight="12975" tabRatio="500" xr2:uid="{00000000-000D-0000-FFFF-FFFF00000000}"/>
  </bookViews>
  <sheets>
    <sheet name="Caso A - Comercial" sheetId="1" r:id="rId1"/>
    <sheet name="Caso B - Manufacturera" sheetId="2" r:id="rId2"/>
    <sheet name="Caso C - Servicios" sheetId="3" r:id="rId3"/>
    <sheet name="Preguntas de Analisis" sheetId="4" r:id="rId4"/>
    <sheet name="Cuadro Comparativo"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3" l="1"/>
  <c r="B10" i="3"/>
  <c r="B14" i="3" s="1"/>
  <c r="B10" i="2"/>
  <c r="B13" i="2" s="1"/>
  <c r="B12" i="1"/>
  <c r="B15" i="1" s="1"/>
</calcChain>
</file>

<file path=xl/sharedStrings.xml><?xml version="1.0" encoding="utf-8"?>
<sst xmlns="http://schemas.openxmlformats.org/spreadsheetml/2006/main" count="87" uniqueCount="78">
  <si>
    <t>CASO A. Empresa Comercial - Distribuidora El Buen Precio</t>
  </si>
  <si>
    <t>Datos del mes de junio</t>
  </si>
  <si>
    <t>Inventario inicial de mercancias</t>
  </si>
  <si>
    <t>Compras de mercancias</t>
  </si>
  <si>
    <t>Fletes sobre compras</t>
  </si>
  <si>
    <t>Descuentos obtenidos</t>
  </si>
  <si>
    <t>Devoluciones sobre compras</t>
  </si>
  <si>
    <t>Inventario final</t>
  </si>
  <si>
    <t>Compras netas = Compras + Fletes - Devoluciones - Descuentos</t>
  </si>
  <si>
    <t>Compras netas</t>
  </si>
  <si>
    <t>Costo de ventas = Inventario inicial + Compras netas - Inventario final</t>
  </si>
  <si>
    <t>Costo de ventas</t>
  </si>
  <si>
    <t>Analisis</t>
  </si>
  <si>
    <t>Por que no utiliza MPD, MOD y CIF: Distribuidora El Buen Precio no fabrica ni transforma ningun articulo; compra mercancia ya terminada y la revende en las mismas condiciones en que la adquirio. Al no existir proceso de produccion, no hay materia prima que transformar (no hay MPD), no hay mano de obra dedicada a fabricar (no hay MOD) y no se incurre en costos de fabrica como energia o depreciacion de maquinaria (no hay CIF). Sus erogaciones son de compra y de operacion, no de produccion.
Tipo de inventario que maneja: un solo tipo, el inventario de mercancias (articulos terminados listos para la venta).</t>
  </si>
  <si>
    <t>CASO B. Empresa Manufacturera - Muebles San Jose, S.A.</t>
  </si>
  <si>
    <t>Costo</t>
  </si>
  <si>
    <t>Monto</t>
  </si>
  <si>
    <t>Clasificacion</t>
  </si>
  <si>
    <t>Madera y accesorios utilizados</t>
  </si>
  <si>
    <t>MPD</t>
  </si>
  <si>
    <t>Sueldos de carpinteros</t>
  </si>
  <si>
    <t>MOD</t>
  </si>
  <si>
    <t>Energia electrica de la fabrica</t>
  </si>
  <si>
    <t>CIF</t>
  </si>
  <si>
    <t>Depreciacion de maquinaria</t>
  </si>
  <si>
    <t>Mantenimiento de maquinaria</t>
  </si>
  <si>
    <t>Total Costos Indirectos de Fabricacion (CIF)</t>
  </si>
  <si>
    <t>Costo de produccion = MPD + MOD + CIF</t>
  </si>
  <si>
    <t>Costo de produccion</t>
  </si>
  <si>
    <t>Tres tipos de inventario de una empresa manufacturera</t>
  </si>
  <si>
    <t>1. Inventario de materia prima: insumos aun no transformados (la madera y los accesorios almacenados).
2. Inventario de produccion en proceso: escritorios que ya estan en fabricacion pero no han sido terminados.
3. Inventario de productos terminados: escritorios ya finalizados, listos para la venta.</t>
  </si>
  <si>
    <t>CASO C. Empresa de Servicios - Consultores Empresariales GT</t>
  </si>
  <si>
    <t>Honorarios de consultores</t>
  </si>
  <si>
    <t>Directo</t>
  </si>
  <si>
    <t>Alquiler de oficinas</t>
  </si>
  <si>
    <t>Indirecto</t>
  </si>
  <si>
    <t>Papeleria y utiles</t>
  </si>
  <si>
    <t>Internet y telefonia</t>
  </si>
  <si>
    <t>Energia electrica</t>
  </si>
  <si>
    <t>Total costos directos</t>
  </si>
  <si>
    <t>Total costos indirectos</t>
  </si>
  <si>
    <t>Costo total del servicio = Directos + Indirectos</t>
  </si>
  <si>
    <t>Costo total del servicio</t>
  </si>
  <si>
    <t>Por que no posee inventario de productos terminados</t>
  </si>
  <si>
    <t>El servicio de consultoria es intangible: no se fabrica un bien fisico que pueda almacenarse en una bodega y venderse posteriormente. El servicio se genera y se consume en el mismo momento en que el consultor lo presta al cliente, por lo que no existe un producto terminado susceptible de quedar en existencia a la espera de ser vendido.</t>
  </si>
  <si>
    <t>PREGUNTAS DE ANALISIS</t>
  </si>
  <si>
    <t>1. Cual de las tres empresas requiere mayor control de inventarios? Justifique.</t>
  </si>
  <si>
    <t>La empresa manufacturera, Muebles San Jose, S.A., es la que requiere mayor control, ya que debe administrar simultaneamente tres inventarios distintos (materia prima, produccion en proceso y producto terminado), cada uno con sus propios movimientos, valuacion y riesgo de perdida o merma. La empresa comercial solo controla un inventario (mercancias) y la de servicios no maneja inventario fisico alguno.</t>
  </si>
  <si>
    <t>2. Que empresa considera que tiene mayor complejidad para calcular sus costos? Explique.</t>
  </si>
  <si>
    <t>La empresa manufacturera, porque su costo de produccion resulta de combinar tres elementos de naturaleza distinta (MPD, MOD y CIF), y estos ultimos frecuentemente deben prorratearse mediante bases de asignacion (horas maquina, horas de mano de obra, unidades producidas, etc.). En cambio, la empresa comercial solo ajusta el valor de compra con fletes, devoluciones y descuentos, y la empresa de servicios suma un numero reducido de partidas directas e indirectas sin necesidad de procesos de transformacion.</t>
  </si>
  <si>
    <t>3. Por que es importante identificar correctamente los costos antes de fijar el precio de venta?</t>
  </si>
  <si>
    <t>Porque el precio de venta debe cubrir la totalidad de lo invertido en obtener o generar el bien o servicio, y ademas dejar un margen de utilidad razonable. Si los costos no se identifican con exactitud, la empresa corre el riesgo de fijar un precio que no cubra todas sus erogaciones, lo que reduce o elimina la utilidad, o bien de fijar un precio excesivo que la haga perder competitividad en el mercado.</t>
  </si>
  <si>
    <t>4. Que consecuencias tendria calcular incorrectamente el costo de un producto o servicio?</t>
  </si>
  <si>
    <t>Fijar precios de venta erroneos (por debajo o por encima del nivel adecuado), obtener utilidades ficticias o perdidas no detectadas a tiempo, tomar decisiones gerenciales equivocadas (por ejemplo, seguir produciendo una linea que en realidad no es rentable), distorsionar los estados financieros y, en consecuencia, afectar la toma de decisiones de inversion, financiamiento o expansion del negocio.</t>
  </si>
  <si>
    <t>ACTIVIDAD ADICIONAL - CUADRO COMPARATIVO</t>
  </si>
  <si>
    <t>Aspecto</t>
  </si>
  <si>
    <t>Comercial</t>
  </si>
  <si>
    <t>Manufacturera</t>
  </si>
  <si>
    <t>Servicios</t>
  </si>
  <si>
    <t>Compra o transforma productos?</t>
  </si>
  <si>
    <t>Compra productos ya terminados para revenderlos, sin transformarlos</t>
  </si>
  <si>
    <t>Compra materia prima y la transforma en un producto distinto</t>
  </si>
  <si>
    <t>No compra ni transforma bienes; presta un servicio intangible</t>
  </si>
  <si>
    <t>Tipo de inventario</t>
  </si>
  <si>
    <t>Inventario de mercancias</t>
  </si>
  <si>
    <t>Inventario de materia prima, produccion en proceso y productos terminados</t>
  </si>
  <si>
    <t>No maneja inventario fisico</t>
  </si>
  <si>
    <t>Elementos del costo</t>
  </si>
  <si>
    <t>Costo de compra (compras netas)</t>
  </si>
  <si>
    <t>Materia Prima Directa, Mano de Obra Directa y Costos Indirectos de Fabricacion</t>
  </si>
  <si>
    <t>Costos directos e indirectos del servicio (mano de obra profesional y gastos operativos)</t>
  </si>
  <si>
    <t>Formula del costo</t>
  </si>
  <si>
    <t>Compras netas = Compras + Fletes - Devoluciones - Descuentos; Costo de ventas = Inv. inicial + Compras netas - Inv. final</t>
  </si>
  <si>
    <t>Costo del servicio = Costos directos + Costos indirectos</t>
  </si>
  <si>
    <t>Ejemplo de empresa</t>
  </si>
  <si>
    <t>Distribuidora El Buen Precio</t>
  </si>
  <si>
    <t>Muebles San Jose, S.A.</t>
  </si>
  <si>
    <t>Consultores Empresariales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</si>
</sst>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0.00"/>
  </numFmts>
  <fonts count="13" x14ac:knownFonts="1">
    <font>
      <sz val="11"/>
      <color theme="1"/>
      <name val="Calibri"/>
      <family val="2"/>
      <charset val="1"/>
    </font>
    <font>
      <b/>
      <sz val="14"/>
      <color rgb="FFFFFFFF"/>
      <name val="Arial"/>
      <charset val="1"/>
    </font>
    <font>
      <b/>
      <sz val="11"/>
      <color rgb="FF000000"/>
      <name val="Arial"/>
      <charset val="1"/>
    </font>
    <font>
      <sz val="11"/>
      <color rgb="FF000000"/>
      <name val="Arial"/>
      <charset val="1"/>
    </font>
    <font>
      <b/>
      <sz val="11"/>
      <color rgb="FFFFFFFF"/>
      <name val="Arial"/>
      <charset val="1"/>
    </font>
    <font>
      <b/>
      <sz val="14"/>
      <color theme="1"/>
      <name val="Arial"/>
      <family val="2"/>
    </font>
    <font>
      <sz val="11"/>
      <color theme="1"/>
      <name val="Arial"/>
      <family val="2"/>
    </font>
    <font>
      <sz val="11"/>
      <color theme="1" tint="4.9989318521683403E-2"/>
      <name val="Arial"/>
      <family val="2"/>
    </font>
    <font>
      <b/>
      <sz val="11"/>
      <color theme="0"/>
      <name val="Arial"/>
      <family val="2"/>
    </font>
    <font>
      <b/>
      <sz val="11"/>
      <color theme="1" tint="4.9989318521683403E-2"/>
      <name val="Arial"/>
      <family val="2"/>
    </font>
    <font>
      <sz val="11"/>
      <color theme="1" tint="4.9989318521683403E-2"/>
      <name val="Calibri"/>
      <family val="2"/>
      <charset val="1"/>
    </font>
    <font>
      <b/>
      <sz val="11"/>
      <color rgb="FFFFFFFF"/>
      <name val="Arial"/>
      <family val="2"/>
    </font>
    <font>
      <sz val="11"/>
      <color rgb="FF000000"/>
      <name val="Arial"/>
      <family val="2"/>
    </font>
  </fonts>
  <fills count="10">
    <fill>
      <patternFill patternType="none"/>
    </fill>
    <fill>
      <patternFill patternType="gray125"/>
    </fill>
    <fill>
      <patternFill patternType="solid">
        <fgColor rgb="FF0099FF"/>
        <bgColor indexed="64"/>
      </patternFill>
    </fill>
    <fill>
      <patternFill patternType="solid">
        <fgColor rgb="FF0099FF"/>
        <bgColor rgb="FFD9E2F3"/>
      </patternFill>
    </fill>
    <fill>
      <patternFill patternType="solid">
        <fgColor rgb="FF0099FF"/>
        <bgColor rgb="FF003366"/>
      </patternFill>
    </fill>
    <fill>
      <patternFill patternType="solid">
        <fgColor rgb="FF0099FF"/>
        <bgColor rgb="FF0066CC"/>
      </patternFill>
    </fill>
    <fill>
      <patternFill patternType="solid">
        <fgColor rgb="FF0099FF"/>
        <bgColor rgb="FFE2EFDA"/>
      </patternFill>
    </fill>
    <fill>
      <patternFill patternType="solid">
        <fgColor rgb="FF99CCFF"/>
        <bgColor indexed="64"/>
      </patternFill>
    </fill>
    <fill>
      <patternFill patternType="solid">
        <fgColor theme="8" tint="0.79998168889431442"/>
        <bgColor indexed="64"/>
      </patternFill>
    </fill>
    <fill>
      <patternFill patternType="solid">
        <fgColor theme="8" tint="0.79998168889431442"/>
        <bgColor rgb="FFD9E2F3"/>
      </patternFill>
    </fill>
  </fills>
  <borders count="12">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bottom style="thin">
        <color rgb="FFB7B7B7"/>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3">
    <xf numFmtId="0" fontId="0" fillId="0" borderId="0" xfId="0"/>
    <xf numFmtId="0" fontId="5" fillId="2" borderId="0" xfId="0" applyFont="1" applyFill="1" applyAlignment="1">
      <alignment horizontal="left" vertical="center" indent="1"/>
    </xf>
    <xf numFmtId="0" fontId="2" fillId="2" borderId="2" xfId="0" applyFont="1" applyFill="1" applyBorder="1"/>
    <xf numFmtId="0" fontId="0" fillId="2" borderId="2" xfId="0" applyFill="1" applyBorder="1"/>
    <xf numFmtId="0" fontId="0" fillId="0" borderId="4" xfId="0" applyBorder="1"/>
    <xf numFmtId="0" fontId="0" fillId="0" borderId="0" xfId="0" applyBorder="1"/>
    <xf numFmtId="0" fontId="1" fillId="4" borderId="0" xfId="0" applyFont="1" applyFill="1" applyAlignment="1">
      <alignment horizontal="left" vertical="center" indent="1"/>
    </xf>
    <xf numFmtId="0" fontId="4" fillId="5" borderId="2" xfId="0" applyFont="1" applyFill="1" applyBorder="1" applyAlignment="1">
      <alignment horizontal="center"/>
    </xf>
    <xf numFmtId="0" fontId="9" fillId="3" borderId="2" xfId="0" applyFont="1" applyFill="1" applyBorder="1"/>
    <xf numFmtId="164" fontId="9" fillId="3" borderId="2" xfId="0" applyNumberFormat="1" applyFont="1" applyFill="1" applyBorder="1"/>
    <xf numFmtId="0" fontId="10" fillId="0" borderId="2" xfId="0" applyFont="1" applyBorder="1"/>
    <xf numFmtId="0" fontId="9" fillId="0" borderId="2" xfId="0" applyFont="1" applyBorder="1"/>
    <xf numFmtId="0" fontId="2" fillId="6" borderId="5" xfId="0" applyFont="1" applyFill="1" applyBorder="1" applyAlignment="1">
      <alignment vertical="center" wrapText="1"/>
    </xf>
    <xf numFmtId="0" fontId="1" fillId="4" borderId="5" xfId="0" applyFont="1" applyFill="1" applyBorder="1" applyAlignment="1">
      <alignment horizontal="left" vertical="center" indent="1"/>
    </xf>
    <xf numFmtId="0" fontId="11" fillId="5" borderId="2" xfId="0" applyFont="1" applyFill="1" applyBorder="1" applyAlignment="1">
      <alignment horizontal="center"/>
    </xf>
    <xf numFmtId="0" fontId="8" fillId="5" borderId="2" xfId="0" applyFont="1" applyFill="1" applyBorder="1" applyAlignment="1">
      <alignment horizontal="center"/>
    </xf>
    <xf numFmtId="0" fontId="1" fillId="4" borderId="2" xfId="0" applyFont="1" applyFill="1" applyBorder="1" applyAlignment="1">
      <alignment horizontal="left" vertical="center" indent="1"/>
    </xf>
    <xf numFmtId="0" fontId="4" fillId="5" borderId="2" xfId="0" applyFont="1" applyFill="1" applyBorder="1" applyAlignment="1">
      <alignment horizontal="center" vertical="center" wrapText="1"/>
    </xf>
    <xf numFmtId="0" fontId="2" fillId="7" borderId="2" xfId="0" applyFont="1" applyFill="1" applyBorder="1" applyAlignment="1">
      <alignment horizontal="left" vertical="top" wrapText="1"/>
    </xf>
    <xf numFmtId="0" fontId="3" fillId="8" borderId="6" xfId="0" applyFont="1" applyFill="1" applyBorder="1" applyAlignment="1">
      <alignment horizontal="left" vertical="top" wrapText="1"/>
    </xf>
    <xf numFmtId="0" fontId="3" fillId="8" borderId="7" xfId="0" applyFont="1" applyFill="1" applyBorder="1" applyAlignment="1">
      <alignment horizontal="left" vertical="top" wrapText="1"/>
    </xf>
    <xf numFmtId="0" fontId="3" fillId="8" borderId="8" xfId="0" applyFont="1" applyFill="1" applyBorder="1" applyAlignment="1">
      <alignment horizontal="left" vertical="top" wrapText="1"/>
    </xf>
    <xf numFmtId="0" fontId="3" fillId="8" borderId="9" xfId="0" applyFont="1" applyFill="1" applyBorder="1" applyAlignment="1">
      <alignment horizontal="left" vertical="top" wrapText="1"/>
    </xf>
    <xf numFmtId="0" fontId="3" fillId="8" borderId="10" xfId="0" applyFont="1" applyFill="1" applyBorder="1" applyAlignment="1">
      <alignment horizontal="left" vertical="top" wrapText="1"/>
    </xf>
    <xf numFmtId="0" fontId="3" fillId="8" borderId="11" xfId="0" applyFont="1" applyFill="1" applyBorder="1" applyAlignment="1">
      <alignment horizontal="left" vertical="top" wrapText="1"/>
    </xf>
    <xf numFmtId="0" fontId="3" fillId="8" borderId="2" xfId="0" applyFont="1" applyFill="1" applyBorder="1" applyAlignment="1">
      <alignment horizontal="left" vertical="top" wrapText="1"/>
    </xf>
    <xf numFmtId="0" fontId="3" fillId="8" borderId="2" xfId="0" applyFont="1" applyFill="1" applyBorder="1" applyAlignment="1">
      <alignment horizontal="left"/>
    </xf>
    <xf numFmtId="164" fontId="7" fillId="8" borderId="2" xfId="0" applyNumberFormat="1" applyFont="1" applyFill="1" applyBorder="1" applyAlignment="1">
      <alignment horizontal="right"/>
    </xf>
    <xf numFmtId="0" fontId="2" fillId="8" borderId="2" xfId="0" applyFont="1" applyFill="1" applyBorder="1"/>
    <xf numFmtId="0" fontId="0" fillId="8" borderId="2" xfId="0" applyFill="1" applyBorder="1"/>
    <xf numFmtId="0" fontId="2" fillId="9" borderId="2" xfId="0" applyFont="1" applyFill="1" applyBorder="1"/>
    <xf numFmtId="164" fontId="2" fillId="9" borderId="2" xfId="0" applyNumberFormat="1" applyFont="1" applyFill="1" applyBorder="1"/>
    <xf numFmtId="164" fontId="2" fillId="8" borderId="2" xfId="0" applyNumberFormat="1" applyFont="1" applyFill="1" applyBorder="1"/>
    <xf numFmtId="0" fontId="3" fillId="8" borderId="2" xfId="0" applyFont="1" applyFill="1" applyBorder="1"/>
    <xf numFmtId="164" fontId="6" fillId="8" borderId="2" xfId="0" applyNumberFormat="1" applyFont="1" applyFill="1" applyBorder="1"/>
    <xf numFmtId="0" fontId="0" fillId="8" borderId="0" xfId="0" applyFill="1"/>
    <xf numFmtId="0" fontId="2" fillId="8" borderId="3" xfId="0" applyFont="1" applyFill="1" applyBorder="1"/>
    <xf numFmtId="164" fontId="2" fillId="8" borderId="1" xfId="0" applyNumberFormat="1" applyFont="1" applyFill="1" applyBorder="1"/>
    <xf numFmtId="0" fontId="3" fillId="8" borderId="0" xfId="0" applyFont="1" applyFill="1" applyAlignment="1">
      <alignment horizontal="left" vertical="top" wrapText="1"/>
    </xf>
    <xf numFmtId="0" fontId="2" fillId="6" borderId="0" xfId="0" applyFont="1" applyFill="1" applyAlignment="1">
      <alignment horizontal="center"/>
    </xf>
    <xf numFmtId="0" fontId="2" fillId="6" borderId="2" xfId="0" applyFont="1" applyFill="1" applyBorder="1" applyAlignment="1">
      <alignment horizontal="center"/>
    </xf>
    <xf numFmtId="0" fontId="3" fillId="8" borderId="2" xfId="0" applyFont="1" applyFill="1" applyBorder="1" applyAlignment="1">
      <alignment horizontal="left" vertical="top" wrapText="1"/>
    </xf>
    <xf numFmtId="0" fontId="12" fillId="8"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0099FF"/>
      <color rgb="FFCCFFFF"/>
      <color rgb="FF99CCFF"/>
      <color rgb="FF1E4B74"/>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zoomScaleNormal="100" workbookViewId="0">
      <pane ySplit="3" topLeftCell="A4" activePane="bottomLeft" state="frozen"/>
      <selection pane="bottomLeft" activeCell="J19" sqref="J19"/>
    </sheetView>
  </sheetViews>
  <sheetFormatPr baseColWidth="10" defaultColWidth="8.6640625" defaultRowHeight="14.25" x14ac:dyDescent="0.45"/>
  <cols>
    <col min="1" max="1" width="42" customWidth="1"/>
    <col min="2" max="2" width="11.86328125" bestFit="1" customWidth="1"/>
    <col min="3" max="3" width="4" customWidth="1"/>
    <col min="4" max="4" width="46" customWidth="1"/>
  </cols>
  <sheetData>
    <row r="1" spans="1:10" ht="25.5" customHeight="1" x14ac:dyDescent="0.45">
      <c r="A1" s="1" t="s">
        <v>0</v>
      </c>
      <c r="B1" s="1"/>
      <c r="C1" s="1"/>
      <c r="D1" s="1"/>
    </row>
    <row r="3" spans="1:10" x14ac:dyDescent="0.45">
      <c r="A3" s="2" t="s">
        <v>1</v>
      </c>
      <c r="B3" s="3"/>
    </row>
    <row r="4" spans="1:10" x14ac:dyDescent="0.45">
      <c r="A4" s="33" t="s">
        <v>2</v>
      </c>
      <c r="B4" s="34">
        <v>45000</v>
      </c>
    </row>
    <row r="5" spans="1:10" x14ac:dyDescent="0.45">
      <c r="A5" s="33" t="s">
        <v>3</v>
      </c>
      <c r="B5" s="34">
        <v>180000</v>
      </c>
    </row>
    <row r="6" spans="1:10" x14ac:dyDescent="0.45">
      <c r="A6" s="33" t="s">
        <v>4</v>
      </c>
      <c r="B6" s="34">
        <v>6500</v>
      </c>
    </row>
    <row r="7" spans="1:10" x14ac:dyDescent="0.45">
      <c r="A7" s="33" t="s">
        <v>5</v>
      </c>
      <c r="B7" s="34">
        <v>4000</v>
      </c>
    </row>
    <row r="8" spans="1:10" x14ac:dyDescent="0.45">
      <c r="A8" s="33" t="s">
        <v>6</v>
      </c>
      <c r="B8" s="34">
        <v>3500</v>
      </c>
    </row>
    <row r="9" spans="1:10" x14ac:dyDescent="0.45">
      <c r="A9" s="33" t="s">
        <v>7</v>
      </c>
      <c r="B9" s="34">
        <v>58000</v>
      </c>
    </row>
    <row r="11" spans="1:10" x14ac:dyDescent="0.45">
      <c r="A11" s="28" t="s">
        <v>8</v>
      </c>
      <c r="B11" s="35"/>
      <c r="C11" s="35"/>
      <c r="D11" s="35"/>
      <c r="E11" s="5"/>
    </row>
    <row r="12" spans="1:10" x14ac:dyDescent="0.45">
      <c r="A12" s="36" t="s">
        <v>9</v>
      </c>
      <c r="B12" s="37">
        <f>B5+B6-B8-B7</f>
        <v>179000</v>
      </c>
      <c r="C12" s="35"/>
      <c r="D12" s="35"/>
      <c r="E12" s="4"/>
    </row>
    <row r="13" spans="1:10" x14ac:dyDescent="0.45">
      <c r="A13" s="35"/>
      <c r="B13" s="35"/>
      <c r="C13" s="35"/>
      <c r="D13" s="35"/>
    </row>
    <row r="14" spans="1:10" x14ac:dyDescent="0.45">
      <c r="A14" s="28" t="s">
        <v>10</v>
      </c>
      <c r="B14" s="29"/>
      <c r="C14" s="29"/>
      <c r="D14" s="29"/>
    </row>
    <row r="15" spans="1:10" x14ac:dyDescent="0.45">
      <c r="A15" s="30" t="s">
        <v>11</v>
      </c>
      <c r="B15" s="31">
        <f>B4+B12-B9</f>
        <v>166000</v>
      </c>
      <c r="C15" s="29"/>
      <c r="D15" s="29"/>
      <c r="J15" s="5"/>
    </row>
    <row r="18" spans="1:4" x14ac:dyDescent="0.45">
      <c r="A18" s="39" t="s">
        <v>12</v>
      </c>
      <c r="B18" s="39"/>
      <c r="C18" s="39"/>
      <c r="D18" s="39"/>
    </row>
    <row r="19" spans="1:4" ht="109.5" customHeight="1" x14ac:dyDescent="0.45">
      <c r="A19" s="42" t="s">
        <v>13</v>
      </c>
      <c r="B19" s="38"/>
      <c r="C19" s="38"/>
      <c r="D19" s="38"/>
    </row>
    <row r="20" spans="1:4" x14ac:dyDescent="0.45">
      <c r="A20" s="38"/>
      <c r="B20" s="38"/>
      <c r="C20" s="38"/>
      <c r="D20" s="38"/>
    </row>
    <row r="21" spans="1:4" x14ac:dyDescent="0.45">
      <c r="A21" s="38"/>
      <c r="B21" s="38"/>
      <c r="C21" s="38"/>
      <c r="D21" s="38"/>
    </row>
    <row r="22" spans="1:4" x14ac:dyDescent="0.45">
      <c r="A22" s="38"/>
      <c r="B22" s="38"/>
      <c r="C22" s="38"/>
      <c r="D22" s="38"/>
    </row>
    <row r="23" spans="1:4" x14ac:dyDescent="0.45">
      <c r="A23" s="38"/>
      <c r="B23" s="38"/>
      <c r="C23" s="38"/>
      <c r="D23" s="38"/>
    </row>
  </sheetData>
  <mergeCells count="3">
    <mergeCell ref="A1:D1"/>
    <mergeCell ref="A19:D23"/>
    <mergeCell ref="A18:D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zoomScale="79" zoomScaleNormal="100" workbookViewId="0">
      <pane ySplit="3" topLeftCell="A5" activePane="bottomLeft" state="frozen"/>
      <selection pane="bottomLeft" activeCell="A16" sqref="A16:E16"/>
    </sheetView>
  </sheetViews>
  <sheetFormatPr baseColWidth="10" defaultColWidth="8.6640625" defaultRowHeight="14.25" x14ac:dyDescent="0.45"/>
  <cols>
    <col min="1" max="1" width="40" customWidth="1"/>
    <col min="2" max="2" width="18" customWidth="1"/>
    <col min="3" max="3" width="22" customWidth="1"/>
    <col min="4" max="4" width="4" customWidth="1"/>
    <col min="5" max="5" width="46" customWidth="1"/>
  </cols>
  <sheetData>
    <row r="1" spans="1:5" ht="25.5" customHeight="1" x14ac:dyDescent="0.45">
      <c r="A1" s="6" t="s">
        <v>14</v>
      </c>
      <c r="B1" s="6"/>
      <c r="C1" s="6"/>
      <c r="D1" s="6"/>
      <c r="E1" s="6"/>
    </row>
    <row r="3" spans="1:5" x14ac:dyDescent="0.45">
      <c r="A3" s="7" t="s">
        <v>15</v>
      </c>
      <c r="B3" s="7" t="s">
        <v>16</v>
      </c>
      <c r="C3" s="7" t="s">
        <v>17</v>
      </c>
    </row>
    <row r="4" spans="1:5" x14ac:dyDescent="0.45">
      <c r="A4" s="26" t="s">
        <v>18</v>
      </c>
      <c r="B4" s="27">
        <v>95000</v>
      </c>
      <c r="C4" s="26" t="s">
        <v>19</v>
      </c>
    </row>
    <row r="5" spans="1:5" x14ac:dyDescent="0.45">
      <c r="A5" s="26" t="s">
        <v>20</v>
      </c>
      <c r="B5" s="27">
        <v>68000</v>
      </c>
      <c r="C5" s="26" t="s">
        <v>21</v>
      </c>
    </row>
    <row r="6" spans="1:5" x14ac:dyDescent="0.45">
      <c r="A6" s="26" t="s">
        <v>22</v>
      </c>
      <c r="B6" s="27">
        <v>9500</v>
      </c>
      <c r="C6" s="26" t="s">
        <v>23</v>
      </c>
    </row>
    <row r="7" spans="1:5" x14ac:dyDescent="0.45">
      <c r="A7" s="26" t="s">
        <v>24</v>
      </c>
      <c r="B7" s="27">
        <v>12000</v>
      </c>
      <c r="C7" s="26" t="s">
        <v>23</v>
      </c>
    </row>
    <row r="8" spans="1:5" x14ac:dyDescent="0.45">
      <c r="A8" s="26" t="s">
        <v>25</v>
      </c>
      <c r="B8" s="27">
        <v>4500</v>
      </c>
      <c r="C8" s="26" t="s">
        <v>23</v>
      </c>
    </row>
    <row r="10" spans="1:5" x14ac:dyDescent="0.45">
      <c r="A10" s="8" t="s">
        <v>26</v>
      </c>
      <c r="B10" s="9">
        <f>SUMIF(C4:C8,"CIF",B4:B8)</f>
        <v>26000</v>
      </c>
    </row>
    <row r="11" spans="1:5" x14ac:dyDescent="0.45">
      <c r="A11" s="10"/>
      <c r="B11" s="10"/>
    </row>
    <row r="12" spans="1:5" x14ac:dyDescent="0.45">
      <c r="A12" s="11" t="s">
        <v>27</v>
      </c>
      <c r="B12" s="10"/>
    </row>
    <row r="13" spans="1:5" x14ac:dyDescent="0.45">
      <c r="A13" s="8" t="s">
        <v>28</v>
      </c>
      <c r="B13" s="9">
        <f>B4+B5+B10</f>
        <v>189000</v>
      </c>
    </row>
    <row r="16" spans="1:5" x14ac:dyDescent="0.45">
      <c r="A16" s="40" t="s">
        <v>29</v>
      </c>
      <c r="B16" s="40"/>
      <c r="C16" s="40"/>
      <c r="D16" s="40"/>
      <c r="E16" s="40"/>
    </row>
    <row r="17" spans="1:5" ht="90" customHeight="1" x14ac:dyDescent="0.45">
      <c r="A17" s="41" t="s">
        <v>30</v>
      </c>
      <c r="B17" s="41"/>
      <c r="C17" s="41"/>
      <c r="D17" s="41"/>
      <c r="E17" s="41"/>
    </row>
    <row r="18" spans="1:5" x14ac:dyDescent="0.45">
      <c r="A18" s="41"/>
      <c r="B18" s="41"/>
      <c r="C18" s="41"/>
      <c r="D18" s="41"/>
      <c r="E18" s="41"/>
    </row>
    <row r="19" spans="1:5" x14ac:dyDescent="0.45">
      <c r="A19" s="41"/>
      <c r="B19" s="41"/>
      <c r="C19" s="41"/>
      <c r="D19" s="41"/>
      <c r="E19" s="41"/>
    </row>
    <row r="20" spans="1:5" x14ac:dyDescent="0.45">
      <c r="A20" s="41"/>
      <c r="B20" s="41"/>
      <c r="C20" s="41"/>
      <c r="D20" s="41"/>
      <c r="E20" s="41"/>
    </row>
    <row r="21" spans="1:5" x14ac:dyDescent="0.45">
      <c r="A21" s="41"/>
      <c r="B21" s="41"/>
      <c r="C21" s="41"/>
      <c r="D21" s="41"/>
      <c r="E21" s="41"/>
    </row>
  </sheetData>
  <mergeCells count="3">
    <mergeCell ref="A1:E1"/>
    <mergeCell ref="A17:E21"/>
    <mergeCell ref="A16:E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zoomScaleNormal="100" workbookViewId="0">
      <pane ySplit="3" topLeftCell="A4" activePane="bottomLeft" state="frozen"/>
      <selection pane="bottomLeft" activeCell="E10" sqref="E10"/>
    </sheetView>
  </sheetViews>
  <sheetFormatPr baseColWidth="10" defaultColWidth="8.6640625" defaultRowHeight="14.25" x14ac:dyDescent="0.45"/>
  <cols>
    <col min="1" max="1" width="40" customWidth="1"/>
    <col min="2" max="2" width="18" customWidth="1"/>
    <col min="3" max="3" width="22" customWidth="1"/>
    <col min="4" max="4" width="4" customWidth="1"/>
    <col min="5" max="5" width="46" customWidth="1"/>
  </cols>
  <sheetData>
    <row r="1" spans="1:5" ht="25.5" customHeight="1" x14ac:dyDescent="0.45">
      <c r="A1" s="16" t="s">
        <v>31</v>
      </c>
      <c r="B1" s="16"/>
      <c r="C1" s="16"/>
      <c r="D1" s="16"/>
      <c r="E1" s="16"/>
    </row>
    <row r="3" spans="1:5" x14ac:dyDescent="0.45">
      <c r="A3" s="14" t="s">
        <v>15</v>
      </c>
      <c r="B3" s="15" t="s">
        <v>16</v>
      </c>
      <c r="C3" s="7" t="s">
        <v>17</v>
      </c>
    </row>
    <row r="4" spans="1:5" x14ac:dyDescent="0.45">
      <c r="A4" s="26" t="s">
        <v>32</v>
      </c>
      <c r="B4" s="27">
        <v>75000</v>
      </c>
      <c r="C4" s="26" t="s">
        <v>33</v>
      </c>
    </row>
    <row r="5" spans="1:5" x14ac:dyDescent="0.45">
      <c r="A5" s="26" t="s">
        <v>34</v>
      </c>
      <c r="B5" s="27">
        <v>9000</v>
      </c>
      <c r="C5" s="26" t="s">
        <v>35</v>
      </c>
    </row>
    <row r="6" spans="1:5" x14ac:dyDescent="0.45">
      <c r="A6" s="26" t="s">
        <v>36</v>
      </c>
      <c r="B6" s="27">
        <v>2000</v>
      </c>
      <c r="C6" s="26" t="s">
        <v>35</v>
      </c>
    </row>
    <row r="7" spans="1:5" x14ac:dyDescent="0.45">
      <c r="A7" s="26" t="s">
        <v>37</v>
      </c>
      <c r="B7" s="27">
        <v>1800</v>
      </c>
      <c r="C7" s="26" t="s">
        <v>35</v>
      </c>
    </row>
    <row r="8" spans="1:5" x14ac:dyDescent="0.45">
      <c r="A8" s="26" t="s">
        <v>38</v>
      </c>
      <c r="B8" s="27">
        <v>2200</v>
      </c>
      <c r="C8" s="26" t="s">
        <v>35</v>
      </c>
    </row>
    <row r="10" spans="1:5" x14ac:dyDescent="0.45">
      <c r="A10" s="28" t="s">
        <v>39</v>
      </c>
      <c r="B10" s="32">
        <f>SUMIF(C4:C8,"Directo",B4:B8)</f>
        <v>75000</v>
      </c>
    </row>
    <row r="11" spans="1:5" x14ac:dyDescent="0.45">
      <c r="A11" s="28" t="s">
        <v>40</v>
      </c>
      <c r="B11" s="32">
        <f>SUMIF(C4:C8,"Indirecto",B4:B8)</f>
        <v>15000</v>
      </c>
    </row>
    <row r="13" spans="1:5" x14ac:dyDescent="0.45">
      <c r="A13" s="28" t="s">
        <v>41</v>
      </c>
      <c r="B13" s="29"/>
    </row>
    <row r="14" spans="1:5" x14ac:dyDescent="0.45">
      <c r="A14" s="30" t="s">
        <v>42</v>
      </c>
      <c r="B14" s="31">
        <f>B10+B11</f>
        <v>90000</v>
      </c>
    </row>
    <row r="17" spans="1:5" x14ac:dyDescent="0.45">
      <c r="A17" s="40" t="s">
        <v>43</v>
      </c>
      <c r="B17" s="40"/>
      <c r="C17" s="40"/>
      <c r="D17" s="40"/>
      <c r="E17" s="40"/>
    </row>
    <row r="18" spans="1:5" ht="90" customHeight="1" x14ac:dyDescent="0.45">
      <c r="A18" s="41" t="s">
        <v>44</v>
      </c>
      <c r="B18" s="41"/>
      <c r="C18" s="41"/>
      <c r="D18" s="41"/>
      <c r="E18" s="41"/>
    </row>
    <row r="19" spans="1:5" x14ac:dyDescent="0.45">
      <c r="A19" s="41"/>
      <c r="B19" s="41"/>
      <c r="C19" s="41"/>
      <c r="D19" s="41"/>
      <c r="E19" s="41"/>
    </row>
    <row r="20" spans="1:5" x14ac:dyDescent="0.45">
      <c r="A20" s="41"/>
      <c r="B20" s="41"/>
      <c r="C20" s="41"/>
      <c r="D20" s="41"/>
      <c r="E20" s="41"/>
    </row>
    <row r="21" spans="1:5" x14ac:dyDescent="0.45">
      <c r="A21" s="41"/>
      <c r="B21" s="41"/>
      <c r="C21" s="41"/>
      <c r="D21" s="41"/>
      <c r="E21" s="41"/>
    </row>
    <row r="22" spans="1:5" x14ac:dyDescent="0.45">
      <c r="A22" s="41"/>
      <c r="B22" s="41"/>
      <c r="C22" s="41"/>
      <c r="D22" s="41"/>
      <c r="E22" s="41"/>
    </row>
  </sheetData>
  <mergeCells count="3">
    <mergeCell ref="A1:E1"/>
    <mergeCell ref="A18:E22"/>
    <mergeCell ref="A17:E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5"/>
  <sheetViews>
    <sheetView topLeftCell="A16" zoomScaleNormal="100" workbookViewId="0">
      <selection activeCell="A16" sqref="A16:A19"/>
    </sheetView>
  </sheetViews>
  <sheetFormatPr baseColWidth="10" defaultColWidth="8.6640625" defaultRowHeight="14.25" x14ac:dyDescent="0.45"/>
  <cols>
    <col min="1" max="1" width="70" customWidth="1"/>
  </cols>
  <sheetData>
    <row r="1" spans="1:1" ht="25.5" customHeight="1" thickBot="1" x14ac:dyDescent="0.5">
      <c r="A1" s="13" t="s">
        <v>45</v>
      </c>
    </row>
    <row r="2" spans="1:1" ht="14.65" thickBot="1" x14ac:dyDescent="0.5"/>
    <row r="3" spans="1:1" ht="30" customHeight="1" thickBot="1" x14ac:dyDescent="0.5">
      <c r="A3" s="12" t="s">
        <v>46</v>
      </c>
    </row>
    <row r="4" spans="1:1" ht="79.5" customHeight="1" x14ac:dyDescent="0.45">
      <c r="A4" s="19" t="s">
        <v>47</v>
      </c>
    </row>
    <row r="5" spans="1:1" x14ac:dyDescent="0.45">
      <c r="A5" s="20"/>
    </row>
    <row r="6" spans="1:1" x14ac:dyDescent="0.45">
      <c r="A6" s="20"/>
    </row>
    <row r="7" spans="1:1" ht="14.65" thickBot="1" x14ac:dyDescent="0.5">
      <c r="A7" s="21"/>
    </row>
    <row r="8" spans="1:1" ht="14.65" thickBot="1" x14ac:dyDescent="0.5"/>
    <row r="9" spans="1:1" ht="30" customHeight="1" thickBot="1" x14ac:dyDescent="0.5">
      <c r="A9" s="12" t="s">
        <v>48</v>
      </c>
    </row>
    <row r="10" spans="1:1" ht="79.5" customHeight="1" x14ac:dyDescent="0.45">
      <c r="A10" s="22" t="s">
        <v>49</v>
      </c>
    </row>
    <row r="11" spans="1:1" x14ac:dyDescent="0.45">
      <c r="A11" s="23"/>
    </row>
    <row r="12" spans="1:1" x14ac:dyDescent="0.45">
      <c r="A12" s="23"/>
    </row>
    <row r="13" spans="1:1" ht="14.65" thickBot="1" x14ac:dyDescent="0.5">
      <c r="A13" s="24"/>
    </row>
    <row r="14" spans="1:1" ht="14.65" thickBot="1" x14ac:dyDescent="0.5"/>
    <row r="15" spans="1:1" ht="30" customHeight="1" thickBot="1" x14ac:dyDescent="0.5">
      <c r="A15" s="12" t="s">
        <v>50</v>
      </c>
    </row>
    <row r="16" spans="1:1" ht="79.5" customHeight="1" x14ac:dyDescent="0.45">
      <c r="A16" s="22" t="s">
        <v>51</v>
      </c>
    </row>
    <row r="17" spans="1:1" x14ac:dyDescent="0.45">
      <c r="A17" s="23"/>
    </row>
    <row r="18" spans="1:1" x14ac:dyDescent="0.45">
      <c r="A18" s="23"/>
    </row>
    <row r="19" spans="1:1" ht="14.65" thickBot="1" x14ac:dyDescent="0.5">
      <c r="A19" s="24"/>
    </row>
    <row r="20" spans="1:1" ht="14.65" thickBot="1" x14ac:dyDescent="0.5"/>
    <row r="21" spans="1:1" ht="30" customHeight="1" thickBot="1" x14ac:dyDescent="0.5">
      <c r="A21" s="12" t="s">
        <v>52</v>
      </c>
    </row>
    <row r="22" spans="1:1" ht="79.5" customHeight="1" x14ac:dyDescent="0.45">
      <c r="A22" s="22" t="s">
        <v>53</v>
      </c>
    </row>
    <row r="23" spans="1:1" x14ac:dyDescent="0.45">
      <c r="A23" s="23"/>
    </row>
    <row r="24" spans="1:1" x14ac:dyDescent="0.45">
      <c r="A24" s="23"/>
    </row>
    <row r="25" spans="1:1" ht="14.65" thickBot="1" x14ac:dyDescent="0.5">
      <c r="A25" s="24"/>
    </row>
  </sheetData>
  <mergeCells count="4">
    <mergeCell ref="A4:A7"/>
    <mergeCell ref="A10:A13"/>
    <mergeCell ref="A16:A19"/>
    <mergeCell ref="A22:A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zoomScaleNormal="100" workbookViewId="0">
      <pane xSplit="1" ySplit="3" topLeftCell="B4" activePane="bottomRight" state="frozen"/>
      <selection pane="topRight" activeCell="B1" sqref="B1"/>
      <selection pane="bottomLeft" activeCell="A4" sqref="A4"/>
      <selection pane="bottomRight" sqref="A1:D1"/>
    </sheetView>
  </sheetViews>
  <sheetFormatPr baseColWidth="10" defaultColWidth="8.6640625" defaultRowHeight="14.25" x14ac:dyDescent="0.45"/>
  <cols>
    <col min="1" max="1" width="22" customWidth="1"/>
    <col min="2" max="4" width="40" customWidth="1"/>
  </cols>
  <sheetData>
    <row r="1" spans="1:4" ht="25.5" customHeight="1" x14ac:dyDescent="0.45">
      <c r="A1" s="6" t="s">
        <v>54</v>
      </c>
      <c r="B1" s="6"/>
      <c r="C1" s="6"/>
      <c r="D1" s="6"/>
    </row>
    <row r="3" spans="1:4" x14ac:dyDescent="0.45">
      <c r="A3" s="17" t="s">
        <v>55</v>
      </c>
      <c r="B3" s="17" t="s">
        <v>56</v>
      </c>
      <c r="C3" s="17" t="s">
        <v>57</v>
      </c>
      <c r="D3" s="17" t="s">
        <v>58</v>
      </c>
    </row>
    <row r="4" spans="1:4" ht="54.75" customHeight="1" x14ac:dyDescent="0.45">
      <c r="A4" s="18" t="s">
        <v>59</v>
      </c>
      <c r="B4" s="25" t="s">
        <v>60</v>
      </c>
      <c r="C4" s="25" t="s">
        <v>61</v>
      </c>
      <c r="D4" s="25" t="s">
        <v>62</v>
      </c>
    </row>
    <row r="5" spans="1:4" ht="54.75" customHeight="1" x14ac:dyDescent="0.45">
      <c r="A5" s="18" t="s">
        <v>63</v>
      </c>
      <c r="B5" s="25" t="s">
        <v>64</v>
      </c>
      <c r="C5" s="25" t="s">
        <v>65</v>
      </c>
      <c r="D5" s="25" t="s">
        <v>66</v>
      </c>
    </row>
    <row r="6" spans="1:4" ht="54.75" customHeight="1" x14ac:dyDescent="0.45">
      <c r="A6" s="18" t="s">
        <v>67</v>
      </c>
      <c r="B6" s="25" t="s">
        <v>68</v>
      </c>
      <c r="C6" s="25" t="s">
        <v>69</v>
      </c>
      <c r="D6" s="25" t="s">
        <v>70</v>
      </c>
    </row>
    <row r="7" spans="1:4" ht="54.75" customHeight="1" x14ac:dyDescent="0.45">
      <c r="A7" s="18" t="s">
        <v>71</v>
      </c>
      <c r="B7" s="25" t="s">
        <v>72</v>
      </c>
      <c r="C7" s="25" t="s">
        <v>27</v>
      </c>
      <c r="D7" s="25" t="s">
        <v>73</v>
      </c>
    </row>
    <row r="8" spans="1:4" ht="54.75" customHeight="1" x14ac:dyDescent="0.45">
      <c r="A8" s="18" t="s">
        <v>74</v>
      </c>
      <c r="B8" s="25" t="s">
        <v>75</v>
      </c>
      <c r="C8" s="25" t="s">
        <v>76</v>
      </c>
      <c r="D8" s="25" t="s">
        <v>77</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Caso A - Comercial</vt:lpstr>
      <vt:lpstr>Caso B - Manufacturera</vt:lpstr>
      <vt:lpstr>Caso C - Servicios</vt:lpstr>
      <vt:lpstr>Preguntas de Analisis</vt:lpstr>
      <vt:lpstr>Cuadro Comparativo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Angelo Antonio Guamuch Ortíz</cp:lastModifiedBy>
  <cp:revision>0</cp:revision>
  <dcterms:created xsi:type="dcterms:W3CDTF">2026-08-01T18:11:56Z</dcterms:created>
  <dcterms:modified xsi:type="dcterms:W3CDTF">2026-08-01T18:35:12Z</dcterms:modified>
  <dc:language>en-US</dc:language>
</cp:coreProperties>
</file>