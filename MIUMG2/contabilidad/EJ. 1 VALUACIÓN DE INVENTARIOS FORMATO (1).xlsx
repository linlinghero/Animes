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C:\Users\EDDY BOCH\Downloads\"/>
    </mc:Choice>
  </mc:AlternateContent>
  <xr:revisionPtr revIDLastSave="0" documentId="13_ncr:1_{06B05521-CB97-4531-B657-5E34D817B44E}" xr6:coauthVersionLast="47" xr6:coauthVersionMax="47" xr10:uidLastSave="{00000000-0000-0000-0000-000000000000}"/>
  <bookViews>
    <workbookView xWindow="-120" yWindow="-120" windowWidth="29040" windowHeight="15720" activeTab="5" xr2:uid="{00000000-000D-0000-FFFF-FFFF00000000}"/>
  </bookViews>
  <sheets>
    <sheet name="Descripción" sheetId="1" r:id="rId1"/>
    <sheet name="Diario" sheetId="2" r:id="rId2"/>
    <sheet name="T GRÁFICAS" sheetId="4" r:id="rId3"/>
    <sheet name="PEPS" sheetId="3" r:id="rId4"/>
    <sheet name="UEPS" sheetId="5" r:id="rId5"/>
    <sheet name="PROMEDIO" sheetId="6"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12" i="6" l="1"/>
  <c r="G12" i="6" s="1"/>
  <c r="J12" i="6" s="1"/>
  <c r="J11" i="6"/>
  <c r="I11" i="6"/>
  <c r="D11" i="6"/>
  <c r="J13" i="5"/>
  <c r="I13" i="5"/>
  <c r="J12" i="5"/>
  <c r="I12" i="5"/>
  <c r="G12" i="5"/>
  <c r="J11" i="5"/>
  <c r="I11" i="5"/>
  <c r="D13" i="5"/>
  <c r="F12" i="5"/>
  <c r="D11" i="5"/>
  <c r="I16" i="3"/>
  <c r="G16" i="3"/>
  <c r="F16" i="3"/>
  <c r="I15" i="3"/>
  <c r="G15" i="3"/>
  <c r="J15" i="3" s="1"/>
  <c r="F15" i="3"/>
  <c r="I14" i="3"/>
  <c r="G14" i="3"/>
  <c r="F14" i="3"/>
  <c r="E14" i="3"/>
  <c r="J13" i="3"/>
  <c r="I13" i="3"/>
  <c r="J12" i="3"/>
  <c r="D13" i="3"/>
  <c r="I12" i="3"/>
  <c r="G12" i="3"/>
  <c r="F12" i="3"/>
  <c r="J11" i="3"/>
  <c r="I11" i="3"/>
  <c r="D11" i="3"/>
  <c r="F34" i="2"/>
  <c r="J30" i="2"/>
  <c r="J31" i="2" s="1"/>
  <c r="J15" i="2"/>
  <c r="J16" i="2" s="1"/>
  <c r="I12" i="6" l="1"/>
  <c r="K32" i="2"/>
  <c r="K16"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EDDY BOCH</author>
  </authors>
  <commentList>
    <comment ref="I13" authorId="0" shapeId="0" xr:uid="{DD694857-0D9F-4A34-AFB8-052F27DB57A2}">
      <text>
        <r>
          <rPr>
            <b/>
            <sz val="9"/>
            <color indexed="81"/>
            <rFont val="Tahoma"/>
            <family val="2"/>
          </rPr>
          <t>EDDY BOCH:</t>
        </r>
        <r>
          <rPr>
            <sz val="9"/>
            <color indexed="81"/>
            <rFont val="Tahoma"/>
            <family val="2"/>
          </rPr>
          <t xml:space="preserve">
Aquí se divide 9775  / dentro de 400= 24.44
</t>
        </r>
      </text>
    </comment>
  </commentList>
</comments>
</file>

<file path=xl/sharedStrings.xml><?xml version="1.0" encoding="utf-8"?>
<sst xmlns="http://schemas.openxmlformats.org/spreadsheetml/2006/main" count="194" uniqueCount="119">
  <si>
    <t>MÉTODOS PARA LA VALUACIÓN DE INVENTARIOS</t>
  </si>
  <si>
    <t>Para la valuación de inventarios debe observase como propósito principal, que el mismo , de acuerdo a las circunstancias refleje de manera más razonable los resultados del período</t>
  </si>
  <si>
    <t>Los siguientes son los métodos aceptables para determinar el costo de los inventarios.</t>
  </si>
  <si>
    <t>1. Primero en entrar, primero en salir (PEPS) En inglés se conoce como (FIFO) First in First Out</t>
  </si>
  <si>
    <t>2. Úlitomo en entrar, priemro en salir (UEPS) en Inglés se conoce como (LIFO) Last inFirst out.</t>
  </si>
  <si>
    <t>3. Costo Promedio</t>
  </si>
  <si>
    <t>A continuación Trabajaremos el método PEPS, por el sistema de costos pornOrden de Producción</t>
  </si>
  <si>
    <t>PRIMERA EN ENTRAR, PRIMERA EN SALIR (PEPS)</t>
  </si>
  <si>
    <t>Esre méto se basa en el supuesto  de que llos productos que primero ingresan al inventario (Almcén), son los primeros en ser consumidos o vendidos</t>
  </si>
  <si>
    <t xml:space="preserve">imagenemos que la Editorial Almmar, S.A, durante el mes de enero del presente año tuvo el siguiente movimiento de materia prima, por lo que se le solicita le elabore las partidas de </t>
  </si>
  <si>
    <t xml:space="preserve">diario , un cuadro en detalle que indique la materia prima consumida y la no consumida (Inventario Final) con su respectivo costo, tomando primero como base el método PEPS, </t>
  </si>
  <si>
    <t>después el método UEPS y de último el méto de costo promedio, aplicando el sistema de costos por orden de producción.</t>
  </si>
  <si>
    <t>DÍAS</t>
  </si>
  <si>
    <t>Según orden de compra No. 239 se compraron a papelera LUZ, S.A 200 resmas de papel bond de 80 gramos tamaño carta a Q. 26.32 cada resma con el IVA incluido factura</t>
  </si>
  <si>
    <t>1289 pagada con el cheque No. 1001 de Banrural, S.A. Dicha factura dice sujeto a pagos trimestrales.</t>
  </si>
  <si>
    <t>Según requisición No. 1  se despacharon al departamento de producción 100 resmas para su proceso</t>
  </si>
  <si>
    <t>Según orden de compra NO. 240 se compraron a papelería la Luz 300 resmas de papel bond de 80 gramos tamaño carta a Q.27.72 cada resma con el IVA incluido factura</t>
  </si>
  <si>
    <t>1295 pagada con el cheque 1002 de Banrural, S.A. Dicha factura dice Sujeto a pagos trimestrales.</t>
  </si>
  <si>
    <t>Según requisición NO. 002 se despacharon al departamento de producción 200 resmas para su proceso</t>
  </si>
  <si>
    <t>Según requisición No.003 se despacharon al departamento de Producción 150 resmas para su proceso</t>
  </si>
  <si>
    <t>Según orden de compra No. 241, se compraron al crédito a papelera la Luz, S,A 300 resmas de papel bond de 80 gramos tamaño carta a Q. 28.28 cada resma con el IVA</t>
  </si>
  <si>
    <t>incluido factura No. 1301, el IVA se pagó en efectivo. Dicha factura dice sjeto a pagos trimestrales.</t>
  </si>
  <si>
    <t>Según requisición No. 004 se despacharon al departamento de Producción 200 resmas para su proceso.</t>
  </si>
  <si>
    <t>Con los datos anteriores elabore las partidas de diario, un cuadro en detalle que indique materia prima consumida y la no consumida (Inventario final) con su respectivo costo</t>
  </si>
  <si>
    <t>tomando primero como base el método PEPS, después el UEPS y e último el método de costo promedio.</t>
  </si>
  <si>
    <t>Libor de diario de Editorial Almmar, S.A del 01  al 31 de enero de 2019</t>
  </si>
  <si>
    <t>cifras en quetzalez</t>
  </si>
  <si>
    <t>N.o. de Partida</t>
  </si>
  <si>
    <t>DESCRIPCIÓN</t>
  </si>
  <si>
    <t>DEBE</t>
  </si>
  <si>
    <t>HABER</t>
  </si>
  <si>
    <t>PDA. 1</t>
  </si>
  <si>
    <t>Almacén de materia prima</t>
  </si>
  <si>
    <t>IVA por cobrar</t>
  </si>
  <si>
    <t xml:space="preserve">           Bancos</t>
  </si>
  <si>
    <t>Factura No. 1289 de papelera Luz, S.A</t>
  </si>
  <si>
    <t>Cheque No. 1001 de Banrural, S.A</t>
  </si>
  <si>
    <t>PDA. 2</t>
  </si>
  <si>
    <t>Productos en proceso</t>
  </si>
  <si>
    <t xml:space="preserve">           Almacén de materia prima</t>
  </si>
  <si>
    <t>Traslado de producción requisición No. 001</t>
  </si>
  <si>
    <t>PDA. 3</t>
  </si>
  <si>
    <t xml:space="preserve">          Bancos</t>
  </si>
  <si>
    <t>Factura No. 1295 de papelera Luz, S.A</t>
  </si>
  <si>
    <t>Cheque No. 1002 de Banrural, S.A</t>
  </si>
  <si>
    <t>PDA.4</t>
  </si>
  <si>
    <t>Traslado de producción requisición No. 002</t>
  </si>
  <si>
    <t>PDA. 5</t>
  </si>
  <si>
    <t>Traslado de producción requisición No. 003</t>
  </si>
  <si>
    <t>PDA. 6</t>
  </si>
  <si>
    <t xml:space="preserve">          Proveedores</t>
  </si>
  <si>
    <t xml:space="preserve">          Caja</t>
  </si>
  <si>
    <t>Factura No. 1301 de Papeera  Luz, S.A.</t>
  </si>
  <si>
    <t>PDA. 7</t>
  </si>
  <si>
    <t>Traslado de producción requisición No. 004</t>
  </si>
  <si>
    <t>Guatemala,31 de enero de 2019</t>
  </si>
  <si>
    <t>F____________________________________</t>
  </si>
  <si>
    <t>Perito Contador</t>
  </si>
  <si>
    <t>NIT</t>
  </si>
  <si>
    <t>F__________________________________</t>
  </si>
  <si>
    <t>Representante Legal</t>
  </si>
  <si>
    <t>La cuenta Almacén de Mteria Prima qudé registrando el Inventario final de materia prima y la cuenta Productos en proceso qudó registrando</t>
  </si>
  <si>
    <t>la materia proma consumida en producción, veamos las siguientes "T" Gráficas:</t>
  </si>
  <si>
    <t>Almacén de materia Prima</t>
  </si>
  <si>
    <t>Productos en Proceso</t>
  </si>
  <si>
    <t>1) 4700.00</t>
  </si>
  <si>
    <t>2350.00 (2</t>
  </si>
  <si>
    <t>2) 2350</t>
  </si>
  <si>
    <t>3) 7425.00</t>
  </si>
  <si>
    <t>4825.00 (4</t>
  </si>
  <si>
    <t>4) 4825</t>
  </si>
  <si>
    <t>6) 7575.00</t>
  </si>
  <si>
    <t>3712.50 (5</t>
  </si>
  <si>
    <t>5) 3712.5</t>
  </si>
  <si>
    <t>5025.00 (7</t>
  </si>
  <si>
    <t>7) 5025</t>
  </si>
  <si>
    <t>IF=</t>
  </si>
  <si>
    <t>MP Consum.</t>
  </si>
  <si>
    <t>EMPRESA</t>
  </si>
  <si>
    <t>Editorial Almmar, S.A</t>
  </si>
  <si>
    <t>MÉTODO DE EVALUACIÓN A UTILIZAR</t>
  </si>
  <si>
    <t>PEPS</t>
  </si>
  <si>
    <t>MATERIA PRIMA</t>
  </si>
  <si>
    <t>Papel bond 80 Gramos carta</t>
  </si>
  <si>
    <t>UNIDAD DE MEDIDA</t>
  </si>
  <si>
    <t>Resma (500 hojas)</t>
  </si>
  <si>
    <t>MONEDA</t>
  </si>
  <si>
    <t>Quetzal</t>
  </si>
  <si>
    <t>PROVEEDOR</t>
  </si>
  <si>
    <t>Papelera luz, S.A</t>
  </si>
  <si>
    <t>ENTRADAS</t>
  </si>
  <si>
    <t>SALIDAS</t>
  </si>
  <si>
    <t>EXISTENCIA</t>
  </si>
  <si>
    <t>Fecha Descripción</t>
  </si>
  <si>
    <t>cantidad</t>
  </si>
  <si>
    <t>Costo U</t>
  </si>
  <si>
    <t>Costo total</t>
  </si>
  <si>
    <t>UEPS</t>
  </si>
  <si>
    <t>PROMEDIO</t>
  </si>
  <si>
    <t>Compra de fact. No, 1289</t>
  </si>
  <si>
    <t>Despacho req, N0.011</t>
  </si>
  <si>
    <t>Compra de fact No. 1295</t>
  </si>
  <si>
    <t>Despacho req, N0.02</t>
  </si>
  <si>
    <t>Despacho req, No.02</t>
  </si>
  <si>
    <t>Despacho no 003</t>
  </si>
  <si>
    <t>Compra en fact no 1301</t>
  </si>
  <si>
    <t>17/01/2023 Despacho Req. No.002</t>
  </si>
  <si>
    <t>22/01/2023 Despacho Req. No. 003</t>
  </si>
  <si>
    <t>22/01/2023  Despacho Req. No. 003</t>
  </si>
  <si>
    <t xml:space="preserve">27/01/2023 Compra en Fact, No 130 </t>
  </si>
  <si>
    <t>30/01/2023 Despacho Req. No.004</t>
  </si>
  <si>
    <t xml:space="preserve">Materia prima adquirida </t>
  </si>
  <si>
    <t xml:space="preserve">materia prima consumida </t>
  </si>
  <si>
    <t>materia no conusumida. INV Final</t>
  </si>
  <si>
    <t xml:space="preserve">30/01/2026 despacho </t>
  </si>
  <si>
    <t>12/01/2026 Compra en Fact No.1295</t>
  </si>
  <si>
    <t>17/01/2026 DespachoReq No. 002</t>
  </si>
  <si>
    <t>12/01/2026 DespachoReq No. 002</t>
  </si>
  <si>
    <t>27/01/2026 Compra en Fact 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</si>
</sst>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quot;* #,##0.00_-;\-&quot;Q&quot;* #,##0.00_-;_-&quot;Q&quot;* &quot;-&quot;??_-;_-@_-"/>
  </numFmts>
  <fonts count="5" x14ac:knownFonts="1">
    <font>
      <sz val="11"/>
      <color theme="1"/>
      <name val="Calibri"/>
      <family val="2"/>
      <scheme val="minor"/>
    </font>
    <font>
      <b/>
      <sz val="11"/>
      <color theme="1"/>
      <name val="Calibri"/>
      <family val="2"/>
      <scheme val="minor"/>
    </font>
    <font>
      <sz val="8"/>
      <color theme="1"/>
      <name val="Calibri"/>
      <family val="2"/>
      <scheme val="minor"/>
    </font>
    <font>
      <sz val="9"/>
      <color indexed="81"/>
      <name val="Tahoma"/>
      <family val="2"/>
    </font>
    <font>
      <b/>
      <sz val="9"/>
      <color indexed="81"/>
      <name val="Tahoma"/>
      <family val="2"/>
    </font>
  </fonts>
  <fills count="3">
    <fill>
      <patternFill patternType="none"/>
    </fill>
    <fill>
      <patternFill patternType="gray125"/>
    </fill>
    <fill>
      <patternFill patternType="solid">
        <fgColor theme="3" tint="0.79998168889431442"/>
        <bgColor indexed="64"/>
      </patternFill>
    </fill>
  </fills>
  <borders count="28">
    <border>
      <left/>
      <right/>
      <top/>
      <bottom/>
      <diagonal/>
    </border>
    <border>
      <left/>
      <right/>
      <top/>
      <bottom style="thin">
        <color theme="4" tint="-0.249977111117893"/>
      </bottom>
      <diagonal/>
    </border>
    <border>
      <left style="thin">
        <color theme="4" tint="-0.249977111117893"/>
      </left>
      <right style="thin">
        <color rgb="FFFF0000"/>
      </right>
      <top style="thin">
        <color theme="4" tint="-0.249977111117893"/>
      </top>
      <bottom style="thin">
        <color indexed="64"/>
      </bottom>
      <diagonal/>
    </border>
    <border>
      <left/>
      <right style="thin">
        <color rgb="FFFF0000"/>
      </right>
      <top style="thin">
        <color theme="4" tint="-0.249977111117893"/>
      </top>
      <bottom/>
      <diagonal/>
    </border>
    <border>
      <left/>
      <right style="thin">
        <color theme="4" tint="-0.249977111117893"/>
      </right>
      <top style="thin">
        <color theme="4" tint="-0.249977111117893"/>
      </top>
      <bottom/>
      <diagonal/>
    </border>
    <border>
      <left/>
      <right/>
      <top style="thin">
        <color theme="4" tint="-0.249977111117893"/>
      </top>
      <bottom/>
      <diagonal/>
    </border>
    <border>
      <left style="thin">
        <color rgb="FFFF0000"/>
      </left>
      <right style="thin">
        <color rgb="FFFF0000"/>
      </right>
      <top style="thin">
        <color theme="4" tint="-0.249977111117893"/>
      </top>
      <bottom/>
      <diagonal/>
    </border>
    <border>
      <left style="thin">
        <color theme="4" tint="-0.249977111117893"/>
      </left>
      <right style="thin">
        <color rgb="FFFF0000"/>
      </right>
      <top style="thin">
        <color indexed="64"/>
      </top>
      <bottom style="thin">
        <color indexed="64"/>
      </bottom>
      <diagonal/>
    </border>
    <border>
      <left/>
      <right style="thin">
        <color rgb="FFFF0000"/>
      </right>
      <top/>
      <bottom/>
      <diagonal/>
    </border>
    <border>
      <left/>
      <right style="thin">
        <color theme="4" tint="-0.249977111117893"/>
      </right>
      <top/>
      <bottom/>
      <diagonal/>
    </border>
    <border>
      <left style="thin">
        <color rgb="FFFF0000"/>
      </left>
      <right style="thin">
        <color rgb="FFFF0000"/>
      </right>
      <top/>
      <bottom/>
      <diagonal/>
    </border>
    <border>
      <left/>
      <right style="thin">
        <color indexed="64"/>
      </right>
      <top style="thin">
        <color theme="4" tint="-0.249977111117893"/>
      </top>
      <bottom/>
      <diagonal/>
    </border>
    <border>
      <left/>
      <right style="thin">
        <color indexed="64"/>
      </right>
      <top/>
      <bottom/>
      <diagonal/>
    </border>
    <border>
      <left style="thin">
        <color rgb="FFFF0000"/>
      </left>
      <right style="thin">
        <color rgb="FFFF0000"/>
      </right>
      <top/>
      <bottom style="thin">
        <color indexed="64"/>
      </bottom>
      <diagonal/>
    </border>
    <border>
      <left/>
      <right style="thin">
        <color theme="4" tint="-0.249977111117893"/>
      </right>
      <top/>
      <bottom style="thin">
        <color indexed="64"/>
      </bottom>
      <diagonal/>
    </border>
    <border>
      <left style="thin">
        <color rgb="FFFF0000"/>
      </left>
      <right style="thin">
        <color indexed="64"/>
      </right>
      <top/>
      <bottom style="double">
        <color rgb="FFFF0000"/>
      </bottom>
      <diagonal/>
    </border>
    <border>
      <left/>
      <right style="thin">
        <color theme="4" tint="-0.249977111117893"/>
      </right>
      <top style="medium">
        <color indexed="64"/>
      </top>
      <bottom/>
      <diagonal/>
    </border>
    <border>
      <left/>
      <right style="thin">
        <color theme="4" tint="-0.249977111117893"/>
      </right>
      <top/>
      <bottom style="medium">
        <color indexed="64"/>
      </bottom>
      <diagonal/>
    </border>
    <border>
      <left style="thin">
        <color theme="4" tint="-0.249977111117893"/>
      </left>
      <right style="thin">
        <color rgb="FFFF0000"/>
      </right>
      <top style="thin">
        <color indexed="64"/>
      </top>
      <bottom style="thin">
        <color theme="4" tint="-0.249977111117893"/>
      </bottom>
      <diagonal/>
    </border>
    <border>
      <left/>
      <right style="thin">
        <color rgb="FFFF0000"/>
      </right>
      <top/>
      <bottom style="thin">
        <color theme="4" tint="-0.249977111117893"/>
      </bottom>
      <diagonal/>
    </border>
    <border>
      <left style="thin">
        <color rgb="FFFF0000"/>
      </left>
      <right style="thin">
        <color rgb="FFFF0000"/>
      </right>
      <top/>
      <bottom style="thin">
        <color theme="4" tint="-0.249977111117893"/>
      </bottom>
      <diagonal/>
    </border>
    <border>
      <left style="medium">
        <color theme="1"/>
      </left>
      <right/>
      <top style="medium">
        <color theme="1"/>
      </top>
      <bottom style="medium">
        <color theme="1"/>
      </bottom>
      <diagonal/>
    </border>
    <border>
      <left/>
      <right style="medium">
        <color theme="1"/>
      </right>
      <top style="medium">
        <color theme="1"/>
      </top>
      <bottom style="medium">
        <color theme="1"/>
      </bottom>
      <diagonal/>
    </border>
    <border>
      <left/>
      <right/>
      <top/>
      <bottom style="medium">
        <color theme="1"/>
      </bottom>
      <diagonal/>
    </border>
    <border>
      <left style="medium">
        <color theme="1"/>
      </left>
      <right/>
      <top style="medium">
        <color theme="1"/>
      </top>
      <bottom/>
      <diagonal/>
    </border>
    <border>
      <left style="medium">
        <color theme="1"/>
      </left>
      <right/>
      <top/>
      <bottom/>
      <diagonal/>
    </border>
    <border>
      <left style="medium">
        <color theme="1"/>
      </left>
      <right/>
      <top/>
      <bottom style="medium">
        <color theme="1"/>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3">
    <xf numFmtId="0" fontId="0" fillId="0" borderId="0" xfId="0"/>
    <xf numFmtId="0" fontId="1" fillId="0" borderId="0" xfId="0" applyFont="1"/>
    <xf numFmtId="0" fontId="1" fillId="0" borderId="0" xfId="0" applyFont="1" applyAlignment="1">
      <alignment horizontal="center"/>
    </xf>
    <xf numFmtId="0" fontId="0" fillId="0" borderId="0" xfId="0" applyAlignment="1">
      <alignment horizontal="center"/>
    </xf>
    <xf numFmtId="0" fontId="0" fillId="0" borderId="1" xfId="0" applyBorder="1"/>
    <xf numFmtId="0" fontId="0" fillId="0" borderId="1" xfId="0" applyBorder="1" applyAlignment="1">
      <alignment horizontal="center"/>
    </xf>
    <xf numFmtId="0" fontId="2" fillId="0" borderId="2" xfId="0" applyFont="1" applyBorder="1"/>
    <xf numFmtId="0" fontId="0" fillId="0" borderId="3" xfId="0" applyBorder="1"/>
    <xf numFmtId="14" fontId="0" fillId="0" borderId="4" xfId="0" applyNumberFormat="1" applyBorder="1" applyAlignment="1">
      <alignment horizontal="center"/>
    </xf>
    <xf numFmtId="0" fontId="0" fillId="0" borderId="5" xfId="0" applyBorder="1"/>
    <xf numFmtId="0" fontId="0" fillId="0" borderId="6" xfId="0" applyBorder="1"/>
    <xf numFmtId="44" fontId="0" fillId="0" borderId="6" xfId="0" applyNumberFormat="1" applyBorder="1"/>
    <xf numFmtId="44" fontId="0" fillId="0" borderId="4" xfId="0" applyNumberFormat="1" applyBorder="1"/>
    <xf numFmtId="0" fontId="2" fillId="0" borderId="7" xfId="0" applyFont="1" applyBorder="1"/>
    <xf numFmtId="0" fontId="0" fillId="0" borderId="8" xfId="0" applyBorder="1"/>
    <xf numFmtId="0" fontId="0" fillId="0" borderId="9" xfId="0" applyBorder="1"/>
    <xf numFmtId="0" fontId="0" fillId="0" borderId="0" xfId="0" applyBorder="1"/>
    <xf numFmtId="0" fontId="0" fillId="0" borderId="10" xfId="0" applyBorder="1"/>
    <xf numFmtId="44" fontId="0" fillId="0" borderId="11" xfId="0" applyNumberFormat="1" applyBorder="1"/>
    <xf numFmtId="44" fontId="0" fillId="0" borderId="10" xfId="0" applyNumberFormat="1" applyBorder="1"/>
    <xf numFmtId="44" fontId="0" fillId="0" borderId="9" xfId="0" applyNumberFormat="1" applyBorder="1"/>
    <xf numFmtId="44" fontId="0" fillId="0" borderId="12" xfId="0" applyNumberFormat="1" applyBorder="1"/>
    <xf numFmtId="44" fontId="0" fillId="0" borderId="13" xfId="0" applyNumberFormat="1" applyBorder="1"/>
    <xf numFmtId="44" fontId="0" fillId="0" borderId="14" xfId="0" applyNumberFormat="1" applyBorder="1"/>
    <xf numFmtId="44" fontId="0" fillId="0" borderId="15" xfId="0" applyNumberFormat="1" applyBorder="1"/>
    <xf numFmtId="14" fontId="0" fillId="0" borderId="16" xfId="0" applyNumberFormat="1" applyBorder="1" applyAlignment="1">
      <alignment horizontal="center"/>
    </xf>
    <xf numFmtId="0" fontId="0" fillId="0" borderId="17" xfId="0" applyBorder="1"/>
    <xf numFmtId="44" fontId="0" fillId="0" borderId="0" xfId="0" applyNumberFormat="1"/>
    <xf numFmtId="0" fontId="2" fillId="0" borderId="18" xfId="0" applyFont="1" applyBorder="1"/>
    <xf numFmtId="0" fontId="0" fillId="0" borderId="19" xfId="0" applyBorder="1"/>
    <xf numFmtId="0" fontId="0" fillId="0" borderId="20" xfId="0" applyBorder="1"/>
    <xf numFmtId="0" fontId="1" fillId="0" borderId="21" xfId="0" applyFont="1" applyBorder="1"/>
    <xf numFmtId="0" fontId="1" fillId="0" borderId="22" xfId="0" applyFont="1" applyBorder="1"/>
    <xf numFmtId="0" fontId="1" fillId="0" borderId="23" xfId="0" applyFont="1" applyBorder="1"/>
    <xf numFmtId="0" fontId="0" fillId="0" borderId="23" xfId="0" applyBorder="1"/>
    <xf numFmtId="0" fontId="0" fillId="0" borderId="24" xfId="0" applyBorder="1"/>
    <xf numFmtId="0" fontId="0" fillId="0" borderId="25" xfId="0" applyBorder="1"/>
    <xf numFmtId="0" fontId="0" fillId="0" borderId="26" xfId="0" applyFill="1" applyBorder="1"/>
    <xf numFmtId="44" fontId="1" fillId="0" borderId="0" xfId="0" applyNumberFormat="1" applyFont="1"/>
    <xf numFmtId="0" fontId="1" fillId="0" borderId="27" xfId="0" applyFont="1" applyBorder="1"/>
    <xf numFmtId="0" fontId="0" fillId="0" borderId="27" xfId="0" applyBorder="1"/>
    <xf numFmtId="0" fontId="1" fillId="0" borderId="27" xfId="0" applyFont="1" applyBorder="1" applyAlignment="1">
      <alignment horizontal="center"/>
    </xf>
    <xf numFmtId="0" fontId="1" fillId="2" borderId="27"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6.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0"/>
  <sheetViews>
    <sheetView topLeftCell="A9" zoomScale="164" workbookViewId="0">
      <selection activeCell="B23" sqref="B23"/>
    </sheetView>
  </sheetViews>
  <sheetFormatPr baseColWidth="10" defaultRowHeight="15" x14ac:dyDescent="0.25"/>
  <sheetData>
    <row r="1" spans="1:1" x14ac:dyDescent="0.25">
      <c r="A1" t="s">
        <v>0</v>
      </c>
    </row>
    <row r="2" spans="1:1" x14ac:dyDescent="0.25">
      <c r="A2" t="s">
        <v>1</v>
      </c>
    </row>
    <row r="3" spans="1:1" x14ac:dyDescent="0.25">
      <c r="A3" t="s">
        <v>2</v>
      </c>
    </row>
    <row r="4" spans="1:1" x14ac:dyDescent="0.25">
      <c r="A4" s="1" t="s">
        <v>3</v>
      </c>
    </row>
    <row r="5" spans="1:1" x14ac:dyDescent="0.25">
      <c r="A5" s="1" t="s">
        <v>4</v>
      </c>
    </row>
    <row r="6" spans="1:1" x14ac:dyDescent="0.25">
      <c r="A6" s="1" t="s">
        <v>5</v>
      </c>
    </row>
    <row r="8" spans="1:1" x14ac:dyDescent="0.25">
      <c r="A8" t="s">
        <v>6</v>
      </c>
    </row>
    <row r="10" spans="1:1" x14ac:dyDescent="0.25">
      <c r="A10" s="1" t="s">
        <v>7</v>
      </c>
    </row>
    <row r="11" spans="1:1" x14ac:dyDescent="0.25">
      <c r="A11" t="s">
        <v>8</v>
      </c>
    </row>
    <row r="13" spans="1:1" x14ac:dyDescent="0.25">
      <c r="A13" t="s">
        <v>9</v>
      </c>
    </row>
    <row r="14" spans="1:1" x14ac:dyDescent="0.25">
      <c r="A14" t="s">
        <v>10</v>
      </c>
    </row>
    <row r="15" spans="1:1" x14ac:dyDescent="0.25">
      <c r="A15" t="s">
        <v>11</v>
      </c>
    </row>
    <row r="17" spans="1:2" x14ac:dyDescent="0.25">
      <c r="A17" s="2" t="s">
        <v>12</v>
      </c>
    </row>
    <row r="18" spans="1:2" x14ac:dyDescent="0.25">
      <c r="A18" s="3">
        <v>2</v>
      </c>
      <c r="B18" t="s">
        <v>13</v>
      </c>
    </row>
    <row r="19" spans="1:2" x14ac:dyDescent="0.25">
      <c r="A19" s="3"/>
      <c r="B19" t="s">
        <v>14</v>
      </c>
    </row>
    <row r="20" spans="1:2" x14ac:dyDescent="0.25">
      <c r="A20" s="3">
        <v>7</v>
      </c>
      <c r="B20" t="s">
        <v>15</v>
      </c>
    </row>
    <row r="21" spans="1:2" x14ac:dyDescent="0.25">
      <c r="A21" s="3">
        <v>12</v>
      </c>
      <c r="B21" t="s">
        <v>16</v>
      </c>
    </row>
    <row r="22" spans="1:2" x14ac:dyDescent="0.25">
      <c r="A22" s="3"/>
      <c r="B22" t="s">
        <v>17</v>
      </c>
    </row>
    <row r="23" spans="1:2" x14ac:dyDescent="0.25">
      <c r="A23" s="3">
        <v>17</v>
      </c>
      <c r="B23" t="s">
        <v>18</v>
      </c>
    </row>
    <row r="24" spans="1:2" x14ac:dyDescent="0.25">
      <c r="A24" s="3">
        <v>22</v>
      </c>
      <c r="B24" t="s">
        <v>19</v>
      </c>
    </row>
    <row r="25" spans="1:2" x14ac:dyDescent="0.25">
      <c r="A25" s="3">
        <v>27</v>
      </c>
      <c r="B25" t="s">
        <v>20</v>
      </c>
    </row>
    <row r="26" spans="1:2" x14ac:dyDescent="0.25">
      <c r="A26" s="3"/>
      <c r="B26" t="s">
        <v>21</v>
      </c>
    </row>
    <row r="27" spans="1:2" x14ac:dyDescent="0.25">
      <c r="A27" s="3">
        <v>30</v>
      </c>
      <c r="B27" t="s">
        <v>22</v>
      </c>
    </row>
    <row r="29" spans="1:2" x14ac:dyDescent="0.25">
      <c r="A29" t="s">
        <v>23</v>
      </c>
    </row>
    <row r="30" spans="1:2" x14ac:dyDescent="0.25">
      <c r="A30" t="s">
        <v>24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50"/>
  <sheetViews>
    <sheetView workbookViewId="0">
      <selection activeCell="C15" sqref="C15"/>
    </sheetView>
  </sheetViews>
  <sheetFormatPr baseColWidth="10" defaultRowHeight="15" x14ac:dyDescent="0.25"/>
  <cols>
    <col min="1" max="1" width="4.5703125" customWidth="1"/>
    <col min="2" max="2" width="0.85546875" customWidth="1"/>
    <col min="3" max="3" width="38.7109375" customWidth="1"/>
    <col min="4" max="4" width="1.7109375" customWidth="1"/>
    <col min="5" max="5" width="1.42578125" customWidth="1"/>
    <col min="7" max="7" width="1.28515625" customWidth="1"/>
    <col min="8" max="8" width="11" bestFit="1" customWidth="1"/>
  </cols>
  <sheetData>
    <row r="1" spans="1:11" x14ac:dyDescent="0.25">
      <c r="A1" t="s">
        <v>25</v>
      </c>
    </row>
    <row r="2" spans="1:11" x14ac:dyDescent="0.25">
      <c r="A2" t="s">
        <v>26</v>
      </c>
    </row>
    <row r="4" spans="1:11" x14ac:dyDescent="0.25">
      <c r="A4" s="4" t="s">
        <v>27</v>
      </c>
      <c r="B4" s="4"/>
      <c r="C4" s="5" t="s">
        <v>28</v>
      </c>
      <c r="D4" s="4"/>
      <c r="E4" s="4"/>
      <c r="F4" s="5" t="s">
        <v>29</v>
      </c>
      <c r="G4" s="5"/>
      <c r="H4" s="5" t="s">
        <v>30</v>
      </c>
    </row>
    <row r="5" spans="1:11" x14ac:dyDescent="0.25">
      <c r="A5" s="6" t="s">
        <v>31</v>
      </c>
      <c r="B5" s="7"/>
      <c r="C5" s="8">
        <v>43467</v>
      </c>
      <c r="D5" s="9"/>
      <c r="E5" s="10"/>
      <c r="G5" s="11"/>
      <c r="H5" s="12"/>
    </row>
    <row r="6" spans="1:11" x14ac:dyDescent="0.25">
      <c r="A6" s="13"/>
      <c r="B6" s="14"/>
      <c r="C6" s="15" t="s">
        <v>32</v>
      </c>
      <c r="D6" s="16"/>
      <c r="E6" s="17"/>
      <c r="F6" s="18">
        <v>4700</v>
      </c>
      <c r="G6" s="19"/>
      <c r="H6" s="20"/>
    </row>
    <row r="7" spans="1:11" x14ac:dyDescent="0.25">
      <c r="A7" s="13"/>
      <c r="B7" s="14"/>
      <c r="C7" s="15" t="s">
        <v>33</v>
      </c>
      <c r="D7" s="16"/>
      <c r="E7" s="17"/>
      <c r="F7" s="21">
        <v>564</v>
      </c>
      <c r="G7" s="22"/>
    </row>
    <row r="8" spans="1:11" x14ac:dyDescent="0.25">
      <c r="A8" s="13"/>
      <c r="B8" s="14"/>
      <c r="C8" s="15" t="s">
        <v>34</v>
      </c>
      <c r="D8" s="16"/>
      <c r="E8" s="17"/>
      <c r="F8" s="22"/>
      <c r="G8" s="19"/>
      <c r="H8" s="23">
        <v>5264</v>
      </c>
    </row>
    <row r="9" spans="1:11" x14ac:dyDescent="0.25">
      <c r="A9" s="13"/>
      <c r="B9" s="14"/>
      <c r="C9" s="15" t="s">
        <v>35</v>
      </c>
      <c r="D9" s="16"/>
      <c r="E9" s="17"/>
      <c r="F9" s="21"/>
      <c r="G9" s="19"/>
      <c r="H9" s="20"/>
    </row>
    <row r="10" spans="1:11" ht="15.75" thickBot="1" x14ac:dyDescent="0.3">
      <c r="A10" s="13"/>
      <c r="B10" s="14"/>
      <c r="C10" s="15" t="s">
        <v>36</v>
      </c>
      <c r="D10" s="16"/>
      <c r="E10" s="17"/>
      <c r="F10" s="24">
        <v>5262</v>
      </c>
      <c r="G10" s="24"/>
      <c r="H10" s="24">
        <v>5264</v>
      </c>
    </row>
    <row r="11" spans="1:11" ht="15.75" thickTop="1" x14ac:dyDescent="0.25">
      <c r="A11" s="13" t="s">
        <v>37</v>
      </c>
      <c r="B11" s="14"/>
      <c r="C11" s="25">
        <v>43472</v>
      </c>
      <c r="D11" s="16"/>
      <c r="E11" s="17"/>
      <c r="F11" s="21"/>
      <c r="G11" s="19"/>
      <c r="H11" s="20"/>
    </row>
    <row r="12" spans="1:11" x14ac:dyDescent="0.25">
      <c r="A12" s="13"/>
      <c r="B12" s="14"/>
      <c r="C12" s="15" t="s">
        <v>38</v>
      </c>
      <c r="D12" s="16"/>
      <c r="E12" s="17"/>
      <c r="F12" s="21">
        <v>2350</v>
      </c>
      <c r="G12" s="19"/>
      <c r="H12" s="20"/>
    </row>
    <row r="13" spans="1:11" x14ac:dyDescent="0.25">
      <c r="A13" s="13"/>
      <c r="B13" s="14"/>
      <c r="C13" s="15" t="s">
        <v>39</v>
      </c>
      <c r="D13" s="16"/>
      <c r="E13" s="17"/>
      <c r="F13" s="21"/>
      <c r="G13" s="19"/>
      <c r="H13" s="20">
        <v>2350</v>
      </c>
    </row>
    <row r="14" spans="1:11" ht="15.75" thickBot="1" x14ac:dyDescent="0.3">
      <c r="A14" s="13"/>
      <c r="B14" s="14"/>
      <c r="C14" s="26" t="s">
        <v>40</v>
      </c>
      <c r="D14" s="16"/>
      <c r="E14" s="17"/>
      <c r="F14" s="20">
        <v>2350</v>
      </c>
      <c r="G14" s="19"/>
      <c r="H14" s="20">
        <v>2350</v>
      </c>
    </row>
    <row r="15" spans="1:11" x14ac:dyDescent="0.25">
      <c r="A15" s="13" t="s">
        <v>41</v>
      </c>
      <c r="B15" s="14"/>
      <c r="C15" s="25">
        <v>43477</v>
      </c>
      <c r="D15" s="16"/>
      <c r="E15" s="17"/>
      <c r="F15" s="21"/>
      <c r="G15" s="19"/>
      <c r="H15" s="20"/>
      <c r="J15" s="27">
        <f>27.72*300</f>
        <v>8316</v>
      </c>
    </row>
    <row r="16" spans="1:11" x14ac:dyDescent="0.25">
      <c r="A16" s="13"/>
      <c r="B16" s="14"/>
      <c r="C16" s="15" t="s">
        <v>32</v>
      </c>
      <c r="D16" s="16"/>
      <c r="E16" s="17"/>
      <c r="F16" s="21">
        <v>7425</v>
      </c>
      <c r="G16" s="19"/>
      <c r="H16" s="20"/>
      <c r="J16" s="27">
        <f>J15/1.12</f>
        <v>7424.9999999999991</v>
      </c>
      <c r="K16" s="27">
        <f>J15-J16</f>
        <v>891.00000000000091</v>
      </c>
    </row>
    <row r="17" spans="1:11" x14ac:dyDescent="0.25">
      <c r="A17" s="13"/>
      <c r="B17" s="14"/>
      <c r="C17" s="15" t="s">
        <v>33</v>
      </c>
      <c r="D17" s="16"/>
      <c r="E17" s="17"/>
      <c r="F17" s="21">
        <v>891</v>
      </c>
      <c r="G17" s="19"/>
      <c r="H17" s="20"/>
    </row>
    <row r="18" spans="1:11" x14ac:dyDescent="0.25">
      <c r="A18" s="13"/>
      <c r="B18" s="14"/>
      <c r="C18" s="15" t="s">
        <v>42</v>
      </c>
      <c r="D18" s="16"/>
      <c r="E18" s="17"/>
      <c r="F18" s="21"/>
      <c r="G18" s="19"/>
      <c r="H18" s="20">
        <v>8316</v>
      </c>
    </row>
    <row r="19" spans="1:11" x14ac:dyDescent="0.25">
      <c r="A19" s="13"/>
      <c r="B19" s="14"/>
      <c r="C19" s="15" t="s">
        <v>43</v>
      </c>
      <c r="D19" s="16"/>
      <c r="E19" s="17"/>
      <c r="F19" s="21"/>
      <c r="G19" s="19"/>
      <c r="H19" s="20"/>
    </row>
    <row r="20" spans="1:11" ht="15.75" thickBot="1" x14ac:dyDescent="0.3">
      <c r="A20" s="13"/>
      <c r="B20" s="14"/>
      <c r="C20" s="15" t="s">
        <v>44</v>
      </c>
      <c r="D20" s="16"/>
      <c r="E20" s="17"/>
      <c r="F20" s="20">
        <v>8316</v>
      </c>
      <c r="G20" s="24"/>
      <c r="H20" s="20">
        <v>8316</v>
      </c>
    </row>
    <row r="21" spans="1:11" ht="15.75" thickTop="1" x14ac:dyDescent="0.25">
      <c r="A21" s="13" t="s">
        <v>45</v>
      </c>
      <c r="B21" s="14"/>
      <c r="C21" s="25">
        <v>43482</v>
      </c>
      <c r="D21" s="16"/>
      <c r="E21" s="17"/>
      <c r="F21" s="21"/>
      <c r="G21" s="19"/>
      <c r="H21" s="20"/>
    </row>
    <row r="22" spans="1:11" x14ac:dyDescent="0.25">
      <c r="A22" s="13"/>
      <c r="B22" s="14"/>
      <c r="C22" s="15" t="s">
        <v>38</v>
      </c>
      <c r="D22" s="16"/>
      <c r="E22" s="17"/>
      <c r="F22" s="21">
        <v>4825</v>
      </c>
      <c r="G22" s="19"/>
      <c r="H22" s="20"/>
    </row>
    <row r="23" spans="1:11" x14ac:dyDescent="0.25">
      <c r="A23" s="13"/>
      <c r="B23" s="14"/>
      <c r="C23" s="15" t="s">
        <v>39</v>
      </c>
      <c r="D23" s="16"/>
      <c r="E23" s="17"/>
      <c r="F23" s="21"/>
      <c r="G23" s="19"/>
      <c r="H23" s="21">
        <v>4825</v>
      </c>
    </row>
    <row r="24" spans="1:11" ht="15.75" thickBot="1" x14ac:dyDescent="0.3">
      <c r="A24" s="13"/>
      <c r="B24" s="14"/>
      <c r="C24" s="26" t="s">
        <v>46</v>
      </c>
      <c r="D24" s="16"/>
      <c r="E24" s="17"/>
      <c r="F24" s="21">
        <v>4825</v>
      </c>
      <c r="G24" s="24"/>
      <c r="H24" s="21">
        <v>4825</v>
      </c>
    </row>
    <row r="25" spans="1:11" x14ac:dyDescent="0.25">
      <c r="A25" s="13" t="s">
        <v>47</v>
      </c>
      <c r="B25" s="14"/>
      <c r="C25" s="25">
        <v>43487</v>
      </c>
      <c r="D25" s="16"/>
      <c r="E25" s="17"/>
      <c r="F25" s="21"/>
      <c r="G25" s="19"/>
      <c r="H25" s="20"/>
    </row>
    <row r="26" spans="1:11" x14ac:dyDescent="0.25">
      <c r="A26" s="13"/>
      <c r="B26" s="14"/>
      <c r="C26" s="15" t="s">
        <v>38</v>
      </c>
      <c r="D26" s="16"/>
      <c r="E26" s="17"/>
      <c r="F26" s="21">
        <v>3712.5</v>
      </c>
      <c r="G26" s="19"/>
      <c r="H26" s="20"/>
    </row>
    <row r="27" spans="1:11" x14ac:dyDescent="0.25">
      <c r="A27" s="13"/>
      <c r="B27" s="14"/>
      <c r="C27" s="15" t="s">
        <v>39</v>
      </c>
      <c r="D27" s="16"/>
      <c r="E27" s="17"/>
      <c r="F27" s="21"/>
      <c r="G27" s="19"/>
      <c r="H27" s="21">
        <v>3712.5</v>
      </c>
    </row>
    <row r="28" spans="1:11" ht="15.75" thickBot="1" x14ac:dyDescent="0.3">
      <c r="A28" s="13"/>
      <c r="B28" s="14"/>
      <c r="C28" s="26" t="s">
        <v>48</v>
      </c>
      <c r="D28" s="16"/>
      <c r="E28" s="17"/>
      <c r="F28" s="21">
        <v>3712.5</v>
      </c>
      <c r="G28" s="24"/>
      <c r="H28" s="21">
        <v>3712.5</v>
      </c>
    </row>
    <row r="29" spans="1:11" x14ac:dyDescent="0.25">
      <c r="A29" s="13" t="s">
        <v>49</v>
      </c>
      <c r="B29" s="14"/>
      <c r="C29" s="25">
        <v>43492</v>
      </c>
      <c r="D29" s="16"/>
      <c r="E29" s="17"/>
      <c r="F29" s="21"/>
      <c r="G29" s="19"/>
      <c r="H29" s="20"/>
    </row>
    <row r="30" spans="1:11" x14ac:dyDescent="0.25">
      <c r="A30" s="13"/>
      <c r="B30" s="14"/>
      <c r="C30" s="15" t="s">
        <v>32</v>
      </c>
      <c r="D30" s="16"/>
      <c r="E30" s="17"/>
      <c r="F30" s="21">
        <v>7575</v>
      </c>
      <c r="G30" s="19"/>
      <c r="H30" s="20"/>
      <c r="J30">
        <f>300*28.28</f>
        <v>8484</v>
      </c>
    </row>
    <row r="31" spans="1:11" x14ac:dyDescent="0.25">
      <c r="A31" s="13"/>
      <c r="B31" s="14"/>
      <c r="C31" s="15" t="s">
        <v>33</v>
      </c>
      <c r="D31" s="16"/>
      <c r="E31" s="17"/>
      <c r="F31" s="21">
        <v>909</v>
      </c>
      <c r="G31" s="19"/>
      <c r="J31">
        <f>J30/1.12</f>
        <v>7574.9999999999991</v>
      </c>
    </row>
    <row r="32" spans="1:11" x14ac:dyDescent="0.25">
      <c r="A32" s="13"/>
      <c r="B32" s="14"/>
      <c r="C32" s="15" t="s">
        <v>50</v>
      </c>
      <c r="D32" s="16"/>
      <c r="E32" s="17"/>
      <c r="F32" s="21"/>
      <c r="G32" s="19"/>
      <c r="H32" s="20">
        <v>7575</v>
      </c>
      <c r="K32">
        <f>J30-J31</f>
        <v>909.00000000000091</v>
      </c>
    </row>
    <row r="33" spans="1:9" x14ac:dyDescent="0.25">
      <c r="A33" s="13"/>
      <c r="B33" s="14"/>
      <c r="C33" s="15" t="s">
        <v>51</v>
      </c>
      <c r="D33" s="16"/>
      <c r="E33" s="17"/>
      <c r="F33" s="21"/>
      <c r="G33" s="19"/>
      <c r="H33" s="20">
        <v>909</v>
      </c>
    </row>
    <row r="34" spans="1:9" ht="15.75" thickBot="1" x14ac:dyDescent="0.3">
      <c r="A34" s="13"/>
      <c r="B34" s="14"/>
      <c r="C34" s="26" t="s">
        <v>52</v>
      </c>
      <c r="D34" s="16"/>
      <c r="E34" s="17"/>
      <c r="F34" s="24">
        <f>F30+F31</f>
        <v>8484</v>
      </c>
      <c r="G34" s="24"/>
      <c r="H34" s="24">
        <v>8484</v>
      </c>
    </row>
    <row r="35" spans="1:9" x14ac:dyDescent="0.25">
      <c r="A35" s="13" t="s">
        <v>53</v>
      </c>
      <c r="B35" s="14"/>
      <c r="C35" s="25">
        <v>43495</v>
      </c>
      <c r="D35" s="16"/>
      <c r="E35" s="17"/>
      <c r="F35" s="21"/>
      <c r="G35" s="19"/>
      <c r="H35" s="20"/>
    </row>
    <row r="36" spans="1:9" x14ac:dyDescent="0.25">
      <c r="A36" s="13"/>
      <c r="B36" s="14"/>
      <c r="C36" s="15" t="s">
        <v>38</v>
      </c>
      <c r="D36" s="16"/>
      <c r="E36" s="17"/>
      <c r="F36" s="21">
        <v>5025</v>
      </c>
      <c r="G36" s="19"/>
      <c r="H36" s="20"/>
    </row>
    <row r="37" spans="1:9" x14ac:dyDescent="0.25">
      <c r="A37" s="13"/>
      <c r="B37" s="14"/>
      <c r="C37" s="15" t="s">
        <v>39</v>
      </c>
      <c r="D37" s="16"/>
      <c r="E37" s="17"/>
      <c r="F37" s="21"/>
      <c r="G37" s="19"/>
      <c r="H37" s="20">
        <v>5025</v>
      </c>
    </row>
    <row r="38" spans="1:9" ht="15.75" thickBot="1" x14ac:dyDescent="0.3">
      <c r="A38" s="28"/>
      <c r="B38" s="29"/>
      <c r="C38" s="26" t="s">
        <v>54</v>
      </c>
      <c r="D38" s="4"/>
      <c r="E38" s="30"/>
      <c r="F38" s="21">
        <v>5025</v>
      </c>
      <c r="G38" s="24"/>
      <c r="H38" s="21">
        <v>5025</v>
      </c>
    </row>
    <row r="39" spans="1:9" x14ac:dyDescent="0.25">
      <c r="C39" s="15"/>
    </row>
    <row r="40" spans="1:9" x14ac:dyDescent="0.25">
      <c r="A40" t="s">
        <v>55</v>
      </c>
    </row>
    <row r="41" spans="1:9" x14ac:dyDescent="0.25">
      <c r="I41" s="4"/>
    </row>
    <row r="42" spans="1:9" x14ac:dyDescent="0.25">
      <c r="A42" t="s">
        <v>56</v>
      </c>
    </row>
    <row r="43" spans="1:9" x14ac:dyDescent="0.25">
      <c r="A43" t="s">
        <v>57</v>
      </c>
    </row>
    <row r="44" spans="1:9" x14ac:dyDescent="0.25">
      <c r="A44" t="s">
        <v>58</v>
      </c>
    </row>
    <row r="46" spans="1:9" x14ac:dyDescent="0.25">
      <c r="A46" t="s">
        <v>59</v>
      </c>
    </row>
    <row r="47" spans="1:9" x14ac:dyDescent="0.25">
      <c r="A47" t="s">
        <v>60</v>
      </c>
    </row>
    <row r="49" spans="1:1" x14ac:dyDescent="0.25">
      <c r="A49" t="s">
        <v>61</v>
      </c>
    </row>
    <row r="50" spans="1:1" x14ac:dyDescent="0.25">
      <c r="A50" t="s">
        <v>62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8"/>
  <sheetViews>
    <sheetView zoomScale="198" workbookViewId="0">
      <selection activeCell="F15" sqref="F15"/>
    </sheetView>
  </sheetViews>
  <sheetFormatPr baseColWidth="10" defaultRowHeight="15" x14ac:dyDescent="0.25"/>
  <cols>
    <col min="1" max="1" width="24.5703125" bestFit="1" customWidth="1"/>
    <col min="2" max="2" width="12" bestFit="1" customWidth="1"/>
    <col min="7" max="7" width="20.140625" bestFit="1" customWidth="1"/>
  </cols>
  <sheetData>
    <row r="1" spans="1:8" ht="15.75" thickBot="1" x14ac:dyDescent="0.3">
      <c r="A1" s="31" t="s">
        <v>63</v>
      </c>
      <c r="B1" s="32"/>
      <c r="G1" s="33" t="s">
        <v>64</v>
      </c>
      <c r="H1" s="34"/>
    </row>
    <row r="2" spans="1:8" x14ac:dyDescent="0.25">
      <c r="A2" t="s">
        <v>65</v>
      </c>
      <c r="B2" s="35" t="s">
        <v>66</v>
      </c>
      <c r="G2" t="s">
        <v>67</v>
      </c>
    </row>
    <row r="3" spans="1:8" x14ac:dyDescent="0.25">
      <c r="A3" t="s">
        <v>68</v>
      </c>
      <c r="B3" s="36" t="s">
        <v>69</v>
      </c>
      <c r="G3" t="s">
        <v>70</v>
      </c>
    </row>
    <row r="4" spans="1:8" x14ac:dyDescent="0.25">
      <c r="A4" t="s">
        <v>71</v>
      </c>
      <c r="B4" s="36" t="s">
        <v>72</v>
      </c>
      <c r="G4" t="s">
        <v>73</v>
      </c>
    </row>
    <row r="5" spans="1:8" ht="15.75" thickBot="1" x14ac:dyDescent="0.3">
      <c r="A5" s="34"/>
      <c r="B5" s="37" t="s">
        <v>74</v>
      </c>
      <c r="G5" t="s">
        <v>75</v>
      </c>
    </row>
    <row r="6" spans="1:8" x14ac:dyDescent="0.25">
      <c r="A6" s="27">
        <v>19700</v>
      </c>
      <c r="B6" s="27">
        <v>15912.5</v>
      </c>
      <c r="G6" s="27">
        <v>15912.5</v>
      </c>
      <c r="H6" s="27"/>
    </row>
    <row r="8" spans="1:8" x14ac:dyDescent="0.25">
      <c r="A8" t="s">
        <v>76</v>
      </c>
      <c r="B8" s="38">
        <v>3787.5</v>
      </c>
      <c r="F8" s="1" t="s">
        <v>77</v>
      </c>
      <c r="G8" s="38">
        <v>15912.5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2"/>
  <sheetViews>
    <sheetView topLeftCell="A10" zoomScale="233" workbookViewId="0">
      <selection activeCell="A27" sqref="A27"/>
    </sheetView>
  </sheetViews>
  <sheetFormatPr baseColWidth="10" defaultRowHeight="15" x14ac:dyDescent="0.25"/>
  <cols>
    <col min="1" max="1" width="35" bestFit="1" customWidth="1"/>
  </cols>
  <sheetData>
    <row r="1" spans="1:10" x14ac:dyDescent="0.25">
      <c r="A1" s="39" t="s">
        <v>78</v>
      </c>
      <c r="B1" s="39" t="s">
        <v>79</v>
      </c>
    </row>
    <row r="2" spans="1:10" x14ac:dyDescent="0.25">
      <c r="A2" s="39" t="s">
        <v>80</v>
      </c>
      <c r="B2" s="39" t="s">
        <v>81</v>
      </c>
    </row>
    <row r="3" spans="1:10" x14ac:dyDescent="0.25">
      <c r="A3" s="39" t="s">
        <v>82</v>
      </c>
      <c r="B3" s="39" t="s">
        <v>83</v>
      </c>
    </row>
    <row r="4" spans="1:10" x14ac:dyDescent="0.25">
      <c r="A4" s="39" t="s">
        <v>84</v>
      </c>
      <c r="B4" s="39" t="s">
        <v>85</v>
      </c>
    </row>
    <row r="5" spans="1:10" x14ac:dyDescent="0.25">
      <c r="A5" s="39" t="s">
        <v>86</v>
      </c>
      <c r="B5" s="39" t="s">
        <v>87</v>
      </c>
    </row>
    <row r="6" spans="1:10" x14ac:dyDescent="0.25">
      <c r="A6" s="39" t="s">
        <v>88</v>
      </c>
      <c r="B6" s="39" t="s">
        <v>89</v>
      </c>
    </row>
    <row r="9" spans="1:10" x14ac:dyDescent="0.25">
      <c r="A9" s="40"/>
      <c r="B9" s="42" t="s">
        <v>90</v>
      </c>
      <c r="C9" s="42"/>
      <c r="D9" s="42"/>
      <c r="E9" s="42" t="s">
        <v>91</v>
      </c>
      <c r="F9" s="42"/>
      <c r="G9" s="42"/>
      <c r="H9" s="42" t="s">
        <v>92</v>
      </c>
      <c r="I9" s="42"/>
      <c r="J9" s="42"/>
    </row>
    <row r="10" spans="1:10" x14ac:dyDescent="0.25">
      <c r="A10" s="41" t="s">
        <v>93</v>
      </c>
      <c r="B10" s="41" t="s">
        <v>94</v>
      </c>
      <c r="C10" s="41" t="s">
        <v>95</v>
      </c>
      <c r="D10" s="41" t="s">
        <v>96</v>
      </c>
      <c r="E10" s="41" t="s">
        <v>94</v>
      </c>
      <c r="F10" s="41" t="s">
        <v>95</v>
      </c>
      <c r="G10" s="41" t="s">
        <v>96</v>
      </c>
      <c r="H10" s="41" t="s">
        <v>94</v>
      </c>
      <c r="I10" s="41" t="s">
        <v>95</v>
      </c>
      <c r="J10" s="41" t="s">
        <v>96</v>
      </c>
    </row>
    <row r="11" spans="1:10" x14ac:dyDescent="0.25">
      <c r="A11" s="40" t="s">
        <v>99</v>
      </c>
      <c r="B11" s="40">
        <v>200</v>
      </c>
      <c r="C11" s="40">
        <v>23.5</v>
      </c>
      <c r="D11" s="40">
        <f>B11*C11</f>
        <v>4700</v>
      </c>
      <c r="E11" s="40"/>
      <c r="F11" s="40"/>
      <c r="G11" s="40"/>
      <c r="H11" s="40">
        <v>200</v>
      </c>
      <c r="I11" s="40">
        <f>C11</f>
        <v>23.5</v>
      </c>
      <c r="J11" s="40">
        <f>D11</f>
        <v>4700</v>
      </c>
    </row>
    <row r="12" spans="1:10" x14ac:dyDescent="0.25">
      <c r="A12" s="40" t="s">
        <v>100</v>
      </c>
      <c r="B12" s="40"/>
      <c r="C12" s="40"/>
      <c r="D12" s="40"/>
      <c r="E12" s="40">
        <v>100</v>
      </c>
      <c r="F12" s="40">
        <f>C11</f>
        <v>23.5</v>
      </c>
      <c r="G12" s="40">
        <f>E12*F12</f>
        <v>2350</v>
      </c>
      <c r="H12" s="40">
        <v>100</v>
      </c>
      <c r="I12" s="40">
        <f>F12</f>
        <v>23.5</v>
      </c>
      <c r="J12" s="40">
        <f>G12</f>
        <v>2350</v>
      </c>
    </row>
    <row r="13" spans="1:10" x14ac:dyDescent="0.25">
      <c r="A13" s="40" t="s">
        <v>101</v>
      </c>
      <c r="B13" s="40">
        <v>300</v>
      </c>
      <c r="C13" s="40">
        <v>24.75</v>
      </c>
      <c r="D13" s="40">
        <f>B13*C13</f>
        <v>7425</v>
      </c>
      <c r="E13" s="40"/>
      <c r="F13" s="40"/>
      <c r="G13" s="40"/>
      <c r="H13" s="40">
        <v>400</v>
      </c>
      <c r="I13" s="40">
        <f>C13</f>
        <v>24.75</v>
      </c>
      <c r="J13" s="40">
        <f>D13+J12</f>
        <v>9775</v>
      </c>
    </row>
    <row r="14" spans="1:10" x14ac:dyDescent="0.25">
      <c r="A14" s="40" t="s">
        <v>102</v>
      </c>
      <c r="B14" s="40"/>
      <c r="C14" s="40"/>
      <c r="D14" s="40"/>
      <c r="E14" s="40">
        <f>E12</f>
        <v>100</v>
      </c>
      <c r="F14" s="40">
        <f>F12</f>
        <v>23.5</v>
      </c>
      <c r="G14" s="40">
        <f>G12</f>
        <v>2350</v>
      </c>
      <c r="H14" s="40">
        <v>300</v>
      </c>
      <c r="I14" s="40">
        <f>F14</f>
        <v>23.5</v>
      </c>
      <c r="J14" s="40">
        <v>7425</v>
      </c>
    </row>
    <row r="15" spans="1:10" x14ac:dyDescent="0.25">
      <c r="A15" s="40" t="s">
        <v>103</v>
      </c>
      <c r="B15" s="40"/>
      <c r="C15" s="40"/>
      <c r="D15" s="40"/>
      <c r="E15" s="40">
        <v>200</v>
      </c>
      <c r="F15" s="40">
        <f>C13</f>
        <v>24.75</v>
      </c>
      <c r="G15" s="40">
        <f>E15*F15</f>
        <v>4950</v>
      </c>
      <c r="H15" s="40">
        <v>200</v>
      </c>
      <c r="I15" s="40">
        <f>F15</f>
        <v>24.75</v>
      </c>
      <c r="J15" s="40">
        <f>J14-G15</f>
        <v>2475</v>
      </c>
    </row>
    <row r="16" spans="1:10" x14ac:dyDescent="0.25">
      <c r="A16" s="40" t="s">
        <v>104</v>
      </c>
      <c r="B16" s="40"/>
      <c r="C16" s="40"/>
      <c r="D16" s="40"/>
      <c r="E16" s="40">
        <v>150</v>
      </c>
      <c r="F16" s="40">
        <f>F15</f>
        <v>24.75</v>
      </c>
      <c r="G16" s="40">
        <f>E16*F16</f>
        <v>3712.5</v>
      </c>
      <c r="H16" s="40">
        <v>50</v>
      </c>
      <c r="I16" s="40">
        <f>I15</f>
        <v>24.75</v>
      </c>
      <c r="J16" s="40">
        <v>1237.5</v>
      </c>
    </row>
    <row r="17" spans="1:10" x14ac:dyDescent="0.25">
      <c r="A17" s="40" t="s">
        <v>105</v>
      </c>
      <c r="B17" s="40">
        <v>300</v>
      </c>
      <c r="C17" s="40">
        <v>25.25</v>
      </c>
      <c r="D17" s="40">
        <v>7575</v>
      </c>
      <c r="E17" s="40"/>
      <c r="F17" s="40"/>
      <c r="G17" s="40"/>
      <c r="H17" s="40">
        <v>350</v>
      </c>
      <c r="I17" s="40">
        <v>25.75</v>
      </c>
      <c r="J17" s="40">
        <v>8812.5</v>
      </c>
    </row>
    <row r="18" spans="1:10" x14ac:dyDescent="0.25">
      <c r="A18" s="40" t="s">
        <v>114</v>
      </c>
      <c r="B18" s="40"/>
      <c r="C18" s="40"/>
      <c r="D18" s="40"/>
      <c r="E18" s="40">
        <v>50</v>
      </c>
      <c r="F18" s="40">
        <v>24.75</v>
      </c>
      <c r="G18" s="40">
        <v>1237.5</v>
      </c>
      <c r="H18" s="40">
        <v>300</v>
      </c>
      <c r="I18" s="40">
        <v>24.75</v>
      </c>
      <c r="J18" s="40">
        <v>7575</v>
      </c>
    </row>
    <row r="19" spans="1:10" x14ac:dyDescent="0.25">
      <c r="A19" s="40" t="s">
        <v>111</v>
      </c>
      <c r="B19" s="40"/>
      <c r="C19" s="40"/>
      <c r="D19" s="40"/>
      <c r="E19" s="40">
        <v>150</v>
      </c>
      <c r="F19" s="40">
        <v>25.25</v>
      </c>
      <c r="G19" s="40">
        <v>3787.5</v>
      </c>
      <c r="H19" s="40">
        <v>150</v>
      </c>
      <c r="I19" s="40">
        <v>25.25</v>
      </c>
      <c r="J19" s="40">
        <v>3787.5</v>
      </c>
    </row>
    <row r="20" spans="1:10" x14ac:dyDescent="0.25">
      <c r="A20" s="40" t="s">
        <v>112</v>
      </c>
      <c r="B20" s="40">
        <v>800</v>
      </c>
      <c r="C20" s="40"/>
      <c r="D20" s="40">
        <v>19700</v>
      </c>
      <c r="E20" s="40"/>
      <c r="F20" s="40"/>
      <c r="G20" s="40"/>
      <c r="H20" s="40"/>
      <c r="I20" s="40"/>
      <c r="J20" s="40"/>
    </row>
    <row r="21" spans="1:10" x14ac:dyDescent="0.25">
      <c r="A21" s="40" t="s">
        <v>113</v>
      </c>
      <c r="B21" s="40"/>
      <c r="C21" s="40"/>
      <c r="D21" s="40"/>
      <c r="E21" s="40">
        <v>650</v>
      </c>
      <c r="F21" s="40"/>
      <c r="G21" s="40">
        <v>15912.5</v>
      </c>
      <c r="H21" s="40"/>
      <c r="I21" s="40"/>
      <c r="J21" s="40"/>
    </row>
    <row r="22" spans="1:10" x14ac:dyDescent="0.25">
      <c r="A22" s="40"/>
      <c r="B22" s="40"/>
      <c r="C22" s="40"/>
      <c r="D22" s="40"/>
      <c r="E22" s="40"/>
      <c r="F22" s="40"/>
      <c r="G22" s="40"/>
      <c r="H22" s="40">
        <v>150</v>
      </c>
      <c r="I22" s="40"/>
      <c r="J22" s="40">
        <v>3787.5</v>
      </c>
    </row>
  </sheetData>
  <mergeCells count="3">
    <mergeCell ref="B9:D9"/>
    <mergeCell ref="E9:G9"/>
    <mergeCell ref="H9:J9"/>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22"/>
  <sheetViews>
    <sheetView zoomScale="152" zoomScaleNormal="146" workbookViewId="0">
      <selection activeCell="E16" sqref="E16"/>
    </sheetView>
  </sheetViews>
  <sheetFormatPr baseColWidth="10" defaultRowHeight="15" x14ac:dyDescent="0.25"/>
  <cols>
    <col min="1" max="1" width="35" bestFit="1" customWidth="1"/>
  </cols>
  <sheetData>
    <row r="1" spans="1:10" x14ac:dyDescent="0.25">
      <c r="A1" s="39" t="s">
        <v>78</v>
      </c>
      <c r="B1" s="39" t="s">
        <v>79</v>
      </c>
    </row>
    <row r="2" spans="1:10" x14ac:dyDescent="0.25">
      <c r="A2" s="39" t="s">
        <v>80</v>
      </c>
      <c r="B2" s="39" t="s">
        <v>97</v>
      </c>
    </row>
    <row r="3" spans="1:10" x14ac:dyDescent="0.25">
      <c r="A3" s="39" t="s">
        <v>82</v>
      </c>
      <c r="B3" s="39" t="s">
        <v>83</v>
      </c>
    </row>
    <row r="4" spans="1:10" x14ac:dyDescent="0.25">
      <c r="A4" s="39" t="s">
        <v>84</v>
      </c>
      <c r="B4" s="39" t="s">
        <v>85</v>
      </c>
    </row>
    <row r="5" spans="1:10" x14ac:dyDescent="0.25">
      <c r="A5" s="39" t="s">
        <v>86</v>
      </c>
      <c r="B5" s="39" t="s">
        <v>87</v>
      </c>
    </row>
    <row r="6" spans="1:10" x14ac:dyDescent="0.25">
      <c r="A6" s="39" t="s">
        <v>88</v>
      </c>
      <c r="B6" s="39" t="s">
        <v>89</v>
      </c>
    </row>
    <row r="9" spans="1:10" x14ac:dyDescent="0.25">
      <c r="A9" s="40"/>
      <c r="B9" s="42" t="s">
        <v>90</v>
      </c>
      <c r="C9" s="42"/>
      <c r="D9" s="42"/>
      <c r="E9" s="42" t="s">
        <v>91</v>
      </c>
      <c r="F9" s="42"/>
      <c r="G9" s="42"/>
      <c r="H9" s="42" t="s">
        <v>92</v>
      </c>
      <c r="I9" s="42"/>
      <c r="J9" s="42"/>
    </row>
    <row r="10" spans="1:10" x14ac:dyDescent="0.25">
      <c r="A10" s="41" t="s">
        <v>93</v>
      </c>
      <c r="B10" s="41" t="s">
        <v>94</v>
      </c>
      <c r="C10" s="41" t="s">
        <v>95</v>
      </c>
      <c r="D10" s="41" t="s">
        <v>96</v>
      </c>
      <c r="E10" s="41" t="s">
        <v>94</v>
      </c>
      <c r="F10" s="41" t="s">
        <v>95</v>
      </c>
      <c r="G10" s="41" t="s">
        <v>96</v>
      </c>
      <c r="H10" s="41" t="s">
        <v>94</v>
      </c>
      <c r="I10" s="41" t="s">
        <v>95</v>
      </c>
      <c r="J10" s="41" t="s">
        <v>96</v>
      </c>
    </row>
    <row r="11" spans="1:10" x14ac:dyDescent="0.25">
      <c r="A11" s="40" t="s">
        <v>99</v>
      </c>
      <c r="B11" s="40">
        <v>200</v>
      </c>
      <c r="C11" s="40">
        <v>23.5</v>
      </c>
      <c r="D11" s="40">
        <f>B11*C11</f>
        <v>4700</v>
      </c>
      <c r="E11" s="40"/>
      <c r="F11" s="40"/>
      <c r="G11" s="40"/>
      <c r="H11" s="40">
        <v>200</v>
      </c>
      <c r="I11" s="40">
        <f>C11</f>
        <v>23.5</v>
      </c>
      <c r="J11" s="40">
        <f>D11</f>
        <v>4700</v>
      </c>
    </row>
    <row r="12" spans="1:10" x14ac:dyDescent="0.25">
      <c r="A12" s="40" t="s">
        <v>100</v>
      </c>
      <c r="B12" s="40"/>
      <c r="C12" s="40"/>
      <c r="D12" s="40"/>
      <c r="E12" s="40">
        <v>100</v>
      </c>
      <c r="F12" s="40">
        <f>C11</f>
        <v>23.5</v>
      </c>
      <c r="G12" s="40">
        <f>E12*F12</f>
        <v>2350</v>
      </c>
      <c r="H12" s="40">
        <v>100</v>
      </c>
      <c r="I12" s="40">
        <f>F12</f>
        <v>23.5</v>
      </c>
      <c r="J12" s="40">
        <f>G12</f>
        <v>2350</v>
      </c>
    </row>
    <row r="13" spans="1:10" x14ac:dyDescent="0.25">
      <c r="A13" s="40" t="s">
        <v>101</v>
      </c>
      <c r="B13" s="40">
        <v>300</v>
      </c>
      <c r="C13" s="40">
        <v>24.75</v>
      </c>
      <c r="D13" s="40">
        <f>B13*C13</f>
        <v>7425</v>
      </c>
      <c r="E13" s="40"/>
      <c r="F13" s="40"/>
      <c r="G13" s="40"/>
      <c r="H13" s="40">
        <v>400</v>
      </c>
      <c r="I13" s="40">
        <f>C13</f>
        <v>24.75</v>
      </c>
      <c r="J13" s="40">
        <f>D13+J12</f>
        <v>9775</v>
      </c>
    </row>
    <row r="14" spans="1:10" x14ac:dyDescent="0.25">
      <c r="A14" s="40" t="s">
        <v>106</v>
      </c>
      <c r="B14" s="40"/>
      <c r="C14" s="40"/>
      <c r="D14" s="40"/>
      <c r="E14" s="40">
        <v>200</v>
      </c>
      <c r="F14" s="40">
        <v>24.75</v>
      </c>
      <c r="G14" s="40">
        <v>4950</v>
      </c>
      <c r="H14" s="40">
        <v>200</v>
      </c>
      <c r="I14" s="40">
        <v>24.75</v>
      </c>
      <c r="J14" s="40">
        <v>4825</v>
      </c>
    </row>
    <row r="15" spans="1:10" x14ac:dyDescent="0.25">
      <c r="A15" s="40" t="s">
        <v>107</v>
      </c>
      <c r="B15" s="40"/>
      <c r="C15" s="40"/>
      <c r="D15" s="40"/>
      <c r="E15" s="40">
        <v>100</v>
      </c>
      <c r="F15" s="40">
        <v>24.75</v>
      </c>
      <c r="G15" s="40">
        <v>2475</v>
      </c>
      <c r="H15" s="40">
        <v>100</v>
      </c>
      <c r="I15" s="40">
        <v>2475</v>
      </c>
      <c r="J15" s="40">
        <v>2350</v>
      </c>
    </row>
    <row r="16" spans="1:10" x14ac:dyDescent="0.25">
      <c r="A16" s="40" t="s">
        <v>108</v>
      </c>
      <c r="B16" s="40"/>
      <c r="C16" s="40"/>
      <c r="D16" s="40"/>
      <c r="E16" s="40">
        <v>50</v>
      </c>
      <c r="F16" s="40">
        <v>23.5</v>
      </c>
      <c r="G16" s="40">
        <v>1175</v>
      </c>
      <c r="H16" s="40">
        <v>50</v>
      </c>
      <c r="I16" s="40">
        <v>23.5</v>
      </c>
      <c r="J16" s="40">
        <v>1175</v>
      </c>
    </row>
    <row r="17" spans="1:10" x14ac:dyDescent="0.25">
      <c r="A17" s="40" t="s">
        <v>109</v>
      </c>
      <c r="B17" s="40">
        <v>300</v>
      </c>
      <c r="C17" s="40">
        <v>25.25</v>
      </c>
      <c r="D17" s="40">
        <v>7575</v>
      </c>
      <c r="E17" s="40"/>
      <c r="F17" s="40"/>
      <c r="G17" s="40"/>
      <c r="H17" s="40">
        <v>350</v>
      </c>
      <c r="I17" s="40">
        <v>25.25</v>
      </c>
      <c r="J17" s="40">
        <v>8750</v>
      </c>
    </row>
    <row r="18" spans="1:10" x14ac:dyDescent="0.25">
      <c r="A18" s="40" t="s">
        <v>110</v>
      </c>
      <c r="B18" s="40"/>
      <c r="C18" s="40"/>
      <c r="D18" s="40"/>
      <c r="E18" s="40">
        <v>200</v>
      </c>
      <c r="F18" s="40">
        <v>25.25</v>
      </c>
      <c r="G18" s="40">
        <v>5050</v>
      </c>
      <c r="H18" s="40">
        <v>150</v>
      </c>
      <c r="I18" s="40">
        <v>25.25</v>
      </c>
      <c r="J18" s="40">
        <v>3700</v>
      </c>
    </row>
    <row r="19" spans="1:10" x14ac:dyDescent="0.25">
      <c r="A19" s="40" t="s">
        <v>111</v>
      </c>
      <c r="B19" s="40">
        <v>800</v>
      </c>
      <c r="C19" s="40"/>
      <c r="D19" s="40">
        <v>19700</v>
      </c>
      <c r="E19" s="40"/>
      <c r="F19" s="40"/>
      <c r="G19" s="40"/>
      <c r="H19" s="40"/>
      <c r="I19" s="40"/>
      <c r="J19" s="40"/>
    </row>
    <row r="20" spans="1:10" x14ac:dyDescent="0.25">
      <c r="A20" s="40" t="s">
        <v>112</v>
      </c>
      <c r="B20" s="40"/>
      <c r="C20" s="40"/>
      <c r="D20" s="40"/>
      <c r="E20" s="40">
        <v>650</v>
      </c>
      <c r="F20" s="40"/>
      <c r="G20" s="40">
        <v>160000</v>
      </c>
      <c r="H20" s="40"/>
      <c r="I20" s="40"/>
      <c r="J20" s="40"/>
    </row>
    <row r="21" spans="1:10" x14ac:dyDescent="0.25">
      <c r="A21" s="40" t="s">
        <v>113</v>
      </c>
      <c r="B21" s="40"/>
      <c r="C21" s="40"/>
      <c r="D21" s="40"/>
      <c r="E21" s="40"/>
      <c r="F21" s="40"/>
      <c r="G21" s="40"/>
      <c r="H21" s="40">
        <v>150</v>
      </c>
      <c r="I21" s="40"/>
      <c r="J21" s="40">
        <v>3700</v>
      </c>
    </row>
    <row r="22" spans="1:10" x14ac:dyDescent="0.25">
      <c r="A22" s="40"/>
      <c r="B22" s="40"/>
      <c r="C22" s="40"/>
      <c r="D22" s="40"/>
      <c r="E22" s="40"/>
      <c r="F22" s="40"/>
      <c r="G22" s="40"/>
      <c r="H22" s="40"/>
      <c r="I22" s="40"/>
      <c r="J22" s="40"/>
    </row>
  </sheetData>
  <mergeCells count="3">
    <mergeCell ref="B9:D9"/>
    <mergeCell ref="E9:G9"/>
    <mergeCell ref="H9:J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22"/>
  <sheetViews>
    <sheetView tabSelected="1" zoomScale="161" workbookViewId="0">
      <selection activeCell="J17" sqref="J17"/>
    </sheetView>
  </sheetViews>
  <sheetFormatPr baseColWidth="10" defaultRowHeight="15" x14ac:dyDescent="0.25"/>
  <cols>
    <col min="1" max="1" width="35" bestFit="1" customWidth="1"/>
  </cols>
  <sheetData>
    <row r="1" spans="1:10" x14ac:dyDescent="0.25">
      <c r="A1" s="39" t="s">
        <v>78</v>
      </c>
      <c r="B1" s="39" t="s">
        <v>79</v>
      </c>
    </row>
    <row r="2" spans="1:10" x14ac:dyDescent="0.25">
      <c r="A2" s="39" t="s">
        <v>80</v>
      </c>
      <c r="B2" s="39" t="s">
        <v>98</v>
      </c>
    </row>
    <row r="3" spans="1:10" x14ac:dyDescent="0.25">
      <c r="A3" s="39" t="s">
        <v>82</v>
      </c>
      <c r="B3" s="39" t="s">
        <v>83</v>
      </c>
    </row>
    <row r="4" spans="1:10" x14ac:dyDescent="0.25">
      <c r="A4" s="39" t="s">
        <v>84</v>
      </c>
      <c r="B4" s="39" t="s">
        <v>85</v>
      </c>
    </row>
    <row r="5" spans="1:10" x14ac:dyDescent="0.25">
      <c r="A5" s="39" t="s">
        <v>86</v>
      </c>
      <c r="B5" s="39" t="s">
        <v>87</v>
      </c>
    </row>
    <row r="6" spans="1:10" x14ac:dyDescent="0.25">
      <c r="A6" s="39" t="s">
        <v>88</v>
      </c>
      <c r="B6" s="39" t="s">
        <v>89</v>
      </c>
    </row>
    <row r="9" spans="1:10" x14ac:dyDescent="0.25">
      <c r="A9" s="40"/>
      <c r="B9" s="42" t="s">
        <v>90</v>
      </c>
      <c r="C9" s="42"/>
      <c r="D9" s="42"/>
      <c r="E9" s="42" t="s">
        <v>91</v>
      </c>
      <c r="F9" s="42"/>
      <c r="G9" s="42"/>
      <c r="H9" s="42" t="s">
        <v>92</v>
      </c>
      <c r="I9" s="42"/>
      <c r="J9" s="42"/>
    </row>
    <row r="10" spans="1:10" x14ac:dyDescent="0.25">
      <c r="A10" s="41" t="s">
        <v>93</v>
      </c>
      <c r="B10" s="41" t="s">
        <v>94</v>
      </c>
      <c r="C10" s="41" t="s">
        <v>95</v>
      </c>
      <c r="D10" s="41" t="s">
        <v>96</v>
      </c>
      <c r="E10" s="41" t="s">
        <v>94</v>
      </c>
      <c r="F10" s="41" t="s">
        <v>95</v>
      </c>
      <c r="G10" s="41" t="s">
        <v>96</v>
      </c>
      <c r="H10" s="41" t="s">
        <v>94</v>
      </c>
      <c r="I10" s="41" t="s">
        <v>95</v>
      </c>
      <c r="J10" s="41" t="s">
        <v>96</v>
      </c>
    </row>
    <row r="11" spans="1:10" x14ac:dyDescent="0.25">
      <c r="A11" s="40" t="s">
        <v>99</v>
      </c>
      <c r="B11" s="40">
        <v>200</v>
      </c>
      <c r="C11" s="40">
        <v>23.5</v>
      </c>
      <c r="D11" s="40">
        <f>B11*C11</f>
        <v>4700</v>
      </c>
      <c r="E11" s="40"/>
      <c r="F11" s="40"/>
      <c r="G11" s="40"/>
      <c r="H11" s="40">
        <v>200</v>
      </c>
      <c r="I11" s="40">
        <f>C11</f>
        <v>23.5</v>
      </c>
      <c r="J11" s="40">
        <f>D11</f>
        <v>4700</v>
      </c>
    </row>
    <row r="12" spans="1:10" x14ac:dyDescent="0.25">
      <c r="A12" s="40" t="s">
        <v>100</v>
      </c>
      <c r="B12" s="40"/>
      <c r="C12" s="40"/>
      <c r="D12" s="40"/>
      <c r="E12" s="40">
        <v>100</v>
      </c>
      <c r="F12" s="40">
        <f>C11</f>
        <v>23.5</v>
      </c>
      <c r="G12" s="40">
        <f>E12*F12</f>
        <v>2350</v>
      </c>
      <c r="H12" s="40">
        <v>100</v>
      </c>
      <c r="I12" s="40">
        <f>F12</f>
        <v>23.5</v>
      </c>
      <c r="J12" s="40">
        <f>G12</f>
        <v>2350</v>
      </c>
    </row>
    <row r="13" spans="1:10" x14ac:dyDescent="0.25">
      <c r="A13" s="40" t="s">
        <v>115</v>
      </c>
      <c r="B13" s="40">
        <v>300</v>
      </c>
      <c r="C13" s="40">
        <v>24.75</v>
      </c>
      <c r="D13" s="40">
        <v>7425</v>
      </c>
      <c r="E13" s="40"/>
      <c r="F13" s="40"/>
      <c r="G13" s="40"/>
      <c r="H13" s="40">
        <v>400</v>
      </c>
      <c r="I13" s="40">
        <v>24.44</v>
      </c>
      <c r="J13" s="40">
        <v>9775</v>
      </c>
    </row>
    <row r="14" spans="1:10" x14ac:dyDescent="0.25">
      <c r="A14" s="40" t="s">
        <v>116</v>
      </c>
      <c r="B14" s="40"/>
      <c r="C14" s="40"/>
      <c r="D14" s="40"/>
      <c r="E14" s="40">
        <v>200</v>
      </c>
      <c r="F14" s="40">
        <v>24.44</v>
      </c>
      <c r="G14" s="40">
        <v>4888</v>
      </c>
      <c r="H14" s="40">
        <v>200</v>
      </c>
      <c r="I14" s="40">
        <v>24.44</v>
      </c>
      <c r="J14" s="40">
        <v>4887</v>
      </c>
    </row>
    <row r="15" spans="1:10" x14ac:dyDescent="0.25">
      <c r="A15" s="40" t="s">
        <v>117</v>
      </c>
      <c r="B15" s="40"/>
      <c r="C15" s="40"/>
      <c r="D15" s="40"/>
      <c r="E15" s="40">
        <v>150</v>
      </c>
      <c r="F15" s="40">
        <v>24.44</v>
      </c>
      <c r="G15" s="40">
        <v>3666</v>
      </c>
      <c r="H15" s="40">
        <v>50</v>
      </c>
      <c r="I15" s="40">
        <v>24.44</v>
      </c>
      <c r="J15" s="40">
        <v>1221</v>
      </c>
    </row>
    <row r="16" spans="1:10" x14ac:dyDescent="0.25">
      <c r="A16" s="40" t="s">
        <v>118</v>
      </c>
      <c r="B16" s="40">
        <v>300</v>
      </c>
      <c r="C16" s="40">
        <v>25.25</v>
      </c>
      <c r="D16" s="40">
        <v>7575</v>
      </c>
      <c r="E16" s="40"/>
      <c r="F16" s="40"/>
      <c r="G16" s="40"/>
      <c r="H16" s="40">
        <v>350</v>
      </c>
      <c r="I16" s="40">
        <v>25.13</v>
      </c>
      <c r="J16" s="40">
        <v>8796</v>
      </c>
    </row>
    <row r="17" spans="1:10" x14ac:dyDescent="0.25">
      <c r="A17" s="40"/>
      <c r="B17" s="40"/>
      <c r="C17" s="40"/>
      <c r="D17" s="40"/>
      <c r="E17" s="40">
        <v>200</v>
      </c>
      <c r="F17" s="40">
        <v>25.13</v>
      </c>
      <c r="G17" s="40">
        <v>5026</v>
      </c>
      <c r="H17" s="40">
        <v>150</v>
      </c>
      <c r="I17" s="40">
        <v>25.13</v>
      </c>
      <c r="J17" s="40">
        <v>3770</v>
      </c>
    </row>
    <row r="18" spans="1:10" x14ac:dyDescent="0.25">
      <c r="A18" s="40" t="s">
        <v>111</v>
      </c>
      <c r="B18" s="40">
        <v>800</v>
      </c>
      <c r="C18" s="40"/>
      <c r="D18" s="40">
        <v>19700</v>
      </c>
      <c r="E18" s="40"/>
      <c r="F18" s="40"/>
      <c r="G18" s="40"/>
      <c r="H18" s="40"/>
      <c r="I18" s="40"/>
      <c r="J18" s="40"/>
    </row>
    <row r="19" spans="1:10" x14ac:dyDescent="0.25">
      <c r="A19" s="40" t="s">
        <v>112</v>
      </c>
      <c r="B19" s="40"/>
      <c r="C19" s="40"/>
      <c r="D19" s="40"/>
      <c r="E19" s="40">
        <v>650</v>
      </c>
      <c r="F19" s="40"/>
      <c r="G19" s="40">
        <v>15930</v>
      </c>
      <c r="H19" s="40"/>
      <c r="I19" s="40"/>
      <c r="J19" s="40"/>
    </row>
    <row r="20" spans="1:10" x14ac:dyDescent="0.25">
      <c r="A20" s="40" t="s">
        <v>113</v>
      </c>
      <c r="B20" s="40"/>
      <c r="C20" s="40"/>
      <c r="D20" s="40"/>
      <c r="E20" s="40"/>
      <c r="F20" s="40"/>
      <c r="G20" s="40"/>
      <c r="H20" s="40">
        <v>150</v>
      </c>
      <c r="I20" s="40"/>
      <c r="J20" s="40">
        <v>3770</v>
      </c>
    </row>
    <row r="21" spans="1:10" x14ac:dyDescent="0.25">
      <c r="A21" s="40"/>
      <c r="B21" s="40"/>
      <c r="C21" s="40"/>
      <c r="D21" s="40"/>
      <c r="E21" s="40"/>
      <c r="F21" s="40"/>
      <c r="G21" s="40"/>
      <c r="H21" s="40"/>
      <c r="I21" s="40"/>
      <c r="J21" s="40"/>
    </row>
    <row r="22" spans="1:10" x14ac:dyDescent="0.25">
      <c r="A22" s="40"/>
      <c r="B22" s="40"/>
      <c r="C22" s="40"/>
      <c r="D22" s="40"/>
      <c r="E22" s="40"/>
      <c r="F22" s="40"/>
      <c r="G22" s="40"/>
      <c r="H22" s="40"/>
      <c r="I22" s="40"/>
      <c r="J22" s="40"/>
    </row>
  </sheetData>
  <mergeCells count="3">
    <mergeCell ref="B9:D9"/>
    <mergeCell ref="E9:G9"/>
    <mergeCell ref="H9:J9"/>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Descripción</vt:lpstr>
      <vt:lpstr>Diario</vt:lpstr>
      <vt:lpstr>T GRÁFICAS</vt:lpstr>
      <vt:lpstr>PEPS</vt:lpstr>
      <vt:lpstr>UEPS</vt:lpstr>
      <vt:lpstr>PROMEDIO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OWNER</dc:creator>
  <cp:lastModifiedBy>Estuardo BX</cp:lastModifiedBy>
  <dcterms:created xsi:type="dcterms:W3CDTF">2019-07-20T02:46:23Z</dcterms:created>
  <dcterms:modified xsi:type="dcterms:W3CDTF">2026-07-27T02:42:00Z</dcterms:modified>
</cp:coreProperties>
</file>