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!!!Yeison Leiva!!!\Desktop\"/>
    </mc:Choice>
  </mc:AlternateContent>
  <xr:revisionPtr revIDLastSave="0" documentId="13_ncr:1_{8E25340E-7AF9-4C1F-A79A-1DE99B375588}" xr6:coauthVersionLast="47" xr6:coauthVersionMax="47" xr10:uidLastSave="{00000000-0000-0000-0000-000000000000}"/>
  <bookViews>
    <workbookView xWindow="-120" yWindow="-120" windowWidth="20730" windowHeight="11160" firstSheet="2" activeTab="7" xr2:uid="{6ACDB86D-74D9-4402-BE93-597DAE57F7C4}"/>
  </bookViews>
  <sheets>
    <sheet name="Inventario" sheetId="1" r:id="rId1"/>
    <sheet name="Balance G." sheetId="10" r:id="rId2"/>
    <sheet name="Libro diario " sheetId="3" r:id="rId3"/>
    <sheet name="Libro Mayor " sheetId="5" r:id="rId4"/>
    <sheet name="Balanza " sheetId="6" r:id="rId5"/>
    <sheet name="H. T" sheetId="9" r:id="rId6"/>
    <sheet name="Estados F" sheetId="7" r:id="rId7"/>
    <sheet name="Estados de Resultados 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0" l="1"/>
  <c r="G16" i="10"/>
  <c r="G12" i="10"/>
  <c r="H16" i="10"/>
  <c r="G23" i="7"/>
  <c r="H22" i="7"/>
  <c r="H16" i="7"/>
  <c r="G16" i="7"/>
  <c r="G12" i="7"/>
  <c r="G9" i="7"/>
  <c r="N19" i="9" l="1"/>
  <c r="M19" i="9"/>
  <c r="L19" i="9"/>
  <c r="K19" i="9"/>
  <c r="J19" i="9"/>
  <c r="I19" i="9"/>
  <c r="H19" i="9"/>
  <c r="F19" i="9"/>
  <c r="K22" i="9" l="1"/>
  <c r="L21" i="9"/>
  <c r="L22" i="9"/>
  <c r="N22" i="9"/>
  <c r="M21" i="9"/>
  <c r="M22" i="9" s="1"/>
  <c r="F13" i="6" l="1"/>
  <c r="G16" i="6"/>
  <c r="C19" i="9"/>
  <c r="D19" i="9"/>
  <c r="F4" i="6"/>
  <c r="D77" i="1"/>
  <c r="F14" i="6"/>
  <c r="E16" i="6"/>
  <c r="D16" i="6"/>
  <c r="F5" i="6"/>
  <c r="F6" i="6"/>
  <c r="F7" i="6"/>
  <c r="F8" i="6"/>
  <c r="F9" i="6"/>
  <c r="F10" i="6"/>
  <c r="F12" i="6"/>
  <c r="F16" i="6" l="1"/>
  <c r="C15" i="3"/>
  <c r="E44" i="1"/>
  <c r="D25" i="3"/>
  <c r="C25" i="3"/>
  <c r="C20" i="3"/>
  <c r="D30" i="1" l="1"/>
  <c r="D25" i="1"/>
  <c r="D14" i="3"/>
  <c r="D15" i="3" s="1"/>
  <c r="D32" i="1" l="1"/>
  <c r="E36" i="1"/>
  <c r="E47" i="1"/>
  <c r="E49" i="1" s="1"/>
  <c r="G38" i="1"/>
  <c r="E76" i="1"/>
  <c r="E77" i="1"/>
</calcChain>
</file>

<file path=xl/sharedStrings.xml><?xml version="1.0" encoding="utf-8"?>
<sst xmlns="http://schemas.openxmlformats.org/spreadsheetml/2006/main" count="365" uniqueCount="168">
  <si>
    <t>ACTIVO</t>
  </si>
  <si>
    <t xml:space="preserve">Disponible </t>
  </si>
  <si>
    <t xml:space="preserve">Caja </t>
  </si>
  <si>
    <t xml:space="preserve">billetes </t>
  </si>
  <si>
    <t>Banco</t>
  </si>
  <si>
    <t>Crossover</t>
  </si>
  <si>
    <t>Extensiones</t>
  </si>
  <si>
    <t>Bancos de pecho</t>
  </si>
  <si>
    <t>Equipo de cardio</t>
  </si>
  <si>
    <t>Jaula</t>
  </si>
  <si>
    <t>Jalones de espalda</t>
  </si>
  <si>
    <t>Escaladora</t>
  </si>
  <si>
    <t>Alquiler</t>
  </si>
  <si>
    <t>Activo No Corriente</t>
  </si>
  <si>
    <t xml:space="preserve">Mobiliario y equipo </t>
  </si>
  <si>
    <t>Cuenta en el Banco Banrural</t>
  </si>
  <si>
    <t xml:space="preserve">Hack </t>
  </si>
  <si>
    <t xml:space="preserve">Mostrador </t>
  </si>
  <si>
    <t xml:space="preserve">Refrigeradora </t>
  </si>
  <si>
    <t xml:space="preserve">Lockers </t>
  </si>
  <si>
    <t xml:space="preserve">Peck Deck </t>
  </si>
  <si>
    <t>Mancuernas c/uQ.1000.00</t>
  </si>
  <si>
    <t>Discos c/uQ.1000.00</t>
  </si>
  <si>
    <t xml:space="preserve">Resumen </t>
  </si>
  <si>
    <t>Patrimio neto (capital)</t>
  </si>
  <si>
    <t xml:space="preserve">Sumas iguales </t>
  </si>
  <si>
    <t xml:space="preserve"> </t>
  </si>
  <si>
    <t xml:space="preserve">proveedore </t>
  </si>
  <si>
    <t xml:space="preserve">Fit Barz </t>
  </si>
  <si>
    <t xml:space="preserve">Inventario No. 1 </t>
  </si>
  <si>
    <t>Practicado al 01 Marzo de 2026</t>
  </si>
  <si>
    <t>GNC</t>
  </si>
  <si>
    <t xml:space="preserve">CIFRAS EXPRESADAS EN QUETZALE </t>
  </si>
  <si>
    <t xml:space="preserve">Valores y obligaciones con que inicia sus operacione mercantiles según balance de de situcion genera  el almacen el universal de apertura de esta feha   </t>
  </si>
  <si>
    <t>IVA</t>
  </si>
  <si>
    <t xml:space="preserve">Exigible </t>
  </si>
  <si>
    <t xml:space="preserve">Corriente </t>
  </si>
  <si>
    <t xml:space="preserve">Realizable </t>
  </si>
  <si>
    <t>Activo Corriente</t>
  </si>
  <si>
    <t xml:space="preserve"> pago del alquiles </t>
  </si>
  <si>
    <t xml:space="preserve">Suma total del Activo </t>
  </si>
  <si>
    <t xml:space="preserve">Patrimonio neto </t>
  </si>
  <si>
    <t xml:space="preserve">Alquiler </t>
  </si>
  <si>
    <t>De conformidad con los datos anteriones el patrimonio neto haciende a la cantidad de doscientos cincuenta dos mil cien (266500.01)</t>
  </si>
  <si>
    <t xml:space="preserve">Partida 1 </t>
  </si>
  <si>
    <t xml:space="preserve">PRACTICADO DEL 01 AL 31 DE MARZO DE 2016 </t>
  </si>
  <si>
    <t>LIBRO DIARIO</t>
  </si>
  <si>
    <t xml:space="preserve">Partida 2 </t>
  </si>
  <si>
    <t>Partida 3</t>
  </si>
  <si>
    <t xml:space="preserve">Suministros </t>
  </si>
  <si>
    <t>Partida 4</t>
  </si>
  <si>
    <t xml:space="preserve">Bancos </t>
  </si>
  <si>
    <t>Partida 5</t>
  </si>
  <si>
    <t xml:space="preserve">Por pago del alquiler del presente mes </t>
  </si>
  <si>
    <t xml:space="preserve">Energia electrica </t>
  </si>
  <si>
    <t xml:space="preserve">Por pago de la luz </t>
  </si>
  <si>
    <t xml:space="preserve">Señal Wifi </t>
  </si>
  <si>
    <t>Caja</t>
  </si>
  <si>
    <t xml:space="preserve">Por pago del gasto de internet </t>
  </si>
  <si>
    <t xml:space="preserve">sueldos </t>
  </si>
  <si>
    <t xml:space="preserve">Por pagos de sueldo a la quicena </t>
  </si>
  <si>
    <t xml:space="preserve">Partida 6 </t>
  </si>
  <si>
    <t xml:space="preserve">Utiles y enseres </t>
  </si>
  <si>
    <t>Escobas</t>
  </si>
  <si>
    <t xml:space="preserve">Basureros </t>
  </si>
  <si>
    <t>Trapeadores</t>
  </si>
  <si>
    <t xml:space="preserve">Galones de desinfectante </t>
  </si>
  <si>
    <t>Agua potable</t>
  </si>
  <si>
    <t>Galones de cloro</t>
  </si>
  <si>
    <t xml:space="preserve">Fardo de papel higiénico </t>
  </si>
  <si>
    <t xml:space="preserve">Pares de guantes platicos </t>
  </si>
  <si>
    <t xml:space="preserve">12%  de 223613.13 según facturas en poder de la empresa </t>
  </si>
  <si>
    <t xml:space="preserve">Clientes </t>
  </si>
  <si>
    <t>Por cierre de caja de los pagos que relizan las personaspara poder ingresar añ GYM</t>
  </si>
  <si>
    <t>Partida 7</t>
  </si>
  <si>
    <t>Partida 8</t>
  </si>
  <si>
    <t>CIFRAS EN QUETZALES</t>
  </si>
  <si>
    <t>Banco Banrural</t>
  </si>
  <si>
    <t>PRACTICADO DEL 01 AL 31 DE MARZO DE 2026</t>
  </si>
  <si>
    <t>CIFRAS EXPRESADAS EN QUETZALES (Q.)</t>
  </si>
  <si>
    <t>Suministros</t>
  </si>
  <si>
    <t>Sueldos</t>
  </si>
  <si>
    <t>SUMAS IGUALES</t>
  </si>
  <si>
    <t>LIBRO MAYOR</t>
  </si>
  <si>
    <t>FO</t>
  </si>
  <si>
    <t>Dia</t>
  </si>
  <si>
    <t>CUENTAS</t>
  </si>
  <si>
    <t>DEBE</t>
  </si>
  <si>
    <t>HABER</t>
  </si>
  <si>
    <t>A varias cuentas</t>
  </si>
  <si>
    <t>Q</t>
  </si>
  <si>
    <t>Por pago de alquiler</t>
  </si>
  <si>
    <t>Por pago de sueldos 1ra Q</t>
  </si>
  <si>
    <t>Por pago de sueldos 2da Q</t>
  </si>
  <si>
    <t>IVA por Recuperar</t>
  </si>
  <si>
    <t>Alquiler Pagado por Anticipado</t>
  </si>
  <si>
    <t>Mobiliario y Equipo</t>
  </si>
  <si>
    <t>Útiles y Enseres</t>
  </si>
  <si>
    <t>Patrimonio Neto (Capital)</t>
  </si>
  <si>
    <t>De varias cuentas</t>
  </si>
  <si>
    <t>Energía Eléctrica</t>
  </si>
  <si>
    <t>De caja</t>
  </si>
  <si>
    <t>Señal Wifi / Internet</t>
  </si>
  <si>
    <t>De bancos</t>
  </si>
  <si>
    <t>Clientes / Ingresos GYM</t>
  </si>
  <si>
    <t>A caja</t>
  </si>
  <si>
    <t>No. de Folios</t>
  </si>
  <si>
    <t>CUENTA</t>
  </si>
  <si>
    <t>MOVIMIENTOS DEBE</t>
  </si>
  <si>
    <t>MOVIMIENTOS HABER</t>
  </si>
  <si>
    <t>SALDO DEUDOR</t>
  </si>
  <si>
    <t>SALDO ACREEDOR</t>
  </si>
  <si>
    <t>Banco G&amp;T</t>
  </si>
  <si>
    <t>Totales</t>
  </si>
  <si>
    <t>PDA</t>
  </si>
  <si>
    <t>No.</t>
  </si>
  <si>
    <t>CONCEPTO</t>
  </si>
  <si>
    <t>BALACE DE SALDOS</t>
  </si>
  <si>
    <t>AJUSTES</t>
  </si>
  <si>
    <t>BALANCE AJUSTADO
O BALANCE DE SALDOS</t>
  </si>
  <si>
    <t>RESULTADOS</t>
  </si>
  <si>
    <t>ESTADO DE SITUACIÓN 
FINANCIERA</t>
  </si>
  <si>
    <t>DEUDOR</t>
  </si>
  <si>
    <t>ACREEDOR</t>
  </si>
  <si>
    <t>PÉRDIDA</t>
  </si>
  <si>
    <t>GANANCIA</t>
  </si>
  <si>
    <t>PASIVO</t>
  </si>
  <si>
    <t>Patrimonio neto (capitala)</t>
  </si>
  <si>
    <t xml:space="preserve">Energía Electica </t>
  </si>
  <si>
    <t>Clientes / Ingresos GTM</t>
  </si>
  <si>
    <t xml:space="preserve">Señal Wifi/Internet </t>
  </si>
  <si>
    <t xml:space="preserve">Sueldos </t>
  </si>
  <si>
    <t xml:space="preserve">Depreciaciones </t>
  </si>
  <si>
    <t>Depreciaciones acumuladas</t>
  </si>
  <si>
    <t xml:space="preserve">Ajustes </t>
  </si>
  <si>
    <t>Mobiliario y equipo</t>
  </si>
  <si>
    <t>Depreciación</t>
  </si>
  <si>
    <t>218750.01 *5%</t>
  </si>
  <si>
    <t>207812.51*20%</t>
  </si>
  <si>
    <t>ventas / Ingresos GTM</t>
  </si>
  <si>
    <t>Perdida de 19496.07</t>
  </si>
  <si>
    <t xml:space="preserve">No corriente </t>
  </si>
  <si>
    <t xml:space="preserve">Suma del activo </t>
  </si>
  <si>
    <t xml:space="preserve">IVA Por recuperar </t>
  </si>
  <si>
    <t>Patrimonio Neto</t>
  </si>
  <si>
    <t>Suma del pasivo y Patrimonio neto</t>
  </si>
  <si>
    <t>Pasivo</t>
  </si>
  <si>
    <t>No Corriente</t>
  </si>
  <si>
    <t xml:space="preserve">Depreciaciones acumuladas </t>
  </si>
  <si>
    <t>Pérdida del ejercicio</t>
  </si>
  <si>
    <t>Concepto</t>
  </si>
  <si>
    <t>Ventas</t>
  </si>
  <si>
    <t>Ventas netas</t>
  </si>
  <si>
    <t>Costo de ventas</t>
  </si>
  <si>
    <t>Gastos de operación:</t>
  </si>
  <si>
    <t>Depreciaciones</t>
  </si>
  <si>
    <t>Total gastos y pérdidas</t>
  </si>
  <si>
    <t>Total ganancias/pérdida</t>
  </si>
  <si>
    <t xml:space="preserve">Utilidades brutas </t>
  </si>
  <si>
    <t>GYM</t>
  </si>
  <si>
    <t>Nota: El balance de situación General de apertura anterior se estructuró de acuerdo</t>
  </si>
  <si>
    <t xml:space="preserve">con  el grado de liquidez de la empresa y en forma de tres elementos, balance de </t>
  </si>
  <si>
    <t>situación general de reporte: Activo, Pasivo y Patrimonio.</t>
  </si>
  <si>
    <t>BALANCE DE SITUACIÓN GENERAL DE APERTURA AL 01 DE MARZO DE 2026</t>
  </si>
  <si>
    <t>BALANZA DE COMPROBACION DEL 1 AL 31 DE ENERO DE 2025</t>
  </si>
  <si>
    <t>Cuenta</t>
  </si>
  <si>
    <t>SUMA DE ESTADO DE RESULTADOS</t>
  </si>
  <si>
    <r>
      <t xml:space="preserve">PÉRDIDA DEL EJERCICIO </t>
    </r>
    <r>
      <rPr>
        <sz val="6"/>
        <color theme="1"/>
        <rFont val="Aptos Narrow"/>
        <family val="2"/>
        <scheme val="minor"/>
      </rPr>
      <t>(GANACIA O PERDIDA SEGÚN EL CASO)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</si>
</sst>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1"/>
    </font>
    <font>
      <b/>
      <sz val="13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/>
      <top style="thick">
        <color rgb="FFFF0000"/>
      </top>
      <bottom style="double">
        <color rgb="FFFF0000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 style="thick">
        <color rgb="FFFF0000"/>
      </top>
      <bottom style="double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ck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ck">
        <color rgb="FF00206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00206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double">
        <color rgb="FF002060"/>
      </bottom>
      <diagonal/>
    </border>
    <border>
      <left style="thin">
        <color rgb="FFFF0000"/>
      </left>
      <right/>
      <top style="medium">
        <color rgb="FFFF0000"/>
      </top>
      <bottom style="double">
        <color rgb="FFFF0000"/>
      </bottom>
      <diagonal/>
    </border>
    <border>
      <left/>
      <right style="thin">
        <color rgb="FFFF0000"/>
      </right>
      <top style="medium">
        <color rgb="FFFF0000"/>
      </top>
      <bottom style="double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rgb="FFFF0000"/>
      </left>
      <right/>
      <top style="medium">
        <color rgb="FFFF0000"/>
      </top>
      <bottom style="thin">
        <color rgb="FFFF0000"/>
      </bottom>
      <diagonal/>
    </border>
    <border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rgb="FFFF0000"/>
      </left>
      <right style="thick">
        <color rgb="FF00206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/>
      <diagonal/>
    </border>
    <border>
      <left style="thin">
        <color rgb="FFFF0000"/>
      </left>
      <right style="thick">
        <color rgb="FF002060"/>
      </right>
      <top style="double">
        <color rgb="FFFF0000"/>
      </top>
      <bottom/>
      <diagonal/>
    </border>
    <border>
      <left style="thick">
        <color rgb="FF002060"/>
      </left>
      <right style="double">
        <color rgb="FFFF0000"/>
      </right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ck">
        <color rgb="FF002060"/>
      </right>
      <top/>
      <bottom/>
      <diagonal/>
    </border>
    <border>
      <left style="thick">
        <color rgb="FF002060"/>
      </left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medium">
        <color rgb="FF002060"/>
      </bottom>
      <diagonal/>
    </border>
    <border>
      <left style="double">
        <color rgb="FFFF0000"/>
      </left>
      <right style="double">
        <color rgb="FFFF0000"/>
      </right>
      <top/>
      <bottom style="thick">
        <color rgb="FF002060"/>
      </bottom>
      <diagonal/>
    </border>
    <border>
      <left style="double">
        <color rgb="FFFF0000"/>
      </left>
      <right style="double">
        <color rgb="FFFF0000"/>
      </right>
      <top style="thick">
        <color rgb="FF002060"/>
      </top>
      <bottom style="double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00206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/>
      <top style="double">
        <color rgb="FFFF0000"/>
      </top>
      <bottom/>
      <diagonal/>
    </border>
    <border>
      <left/>
      <right style="thick">
        <color rgb="FF002060"/>
      </right>
      <top style="double">
        <color rgb="FFFF0000"/>
      </top>
      <bottom/>
      <diagonal/>
    </border>
    <border>
      <left/>
      <right style="thick">
        <color rgb="FF002060"/>
      </right>
      <top/>
      <bottom/>
      <diagonal/>
    </border>
    <border>
      <left style="medium">
        <color rgb="FFFF0000"/>
      </left>
      <right style="medium">
        <color rgb="FFFF0000"/>
      </right>
      <top/>
      <bottom style="double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002060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4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3" fontId="0" fillId="0" borderId="0" xfId="0" applyNumberFormat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/>
    <xf numFmtId="2" fontId="0" fillId="0" borderId="3" xfId="0" applyNumberFormat="1" applyBorder="1"/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2" fontId="0" fillId="0" borderId="5" xfId="0" applyNumberFormat="1" applyBorder="1"/>
    <xf numFmtId="0" fontId="0" fillId="0" borderId="1" xfId="0" applyBorder="1" applyAlignment="1">
      <alignment wrapText="1"/>
    </xf>
    <xf numFmtId="2" fontId="0" fillId="0" borderId="2" xfId="0" applyNumberFormat="1" applyBorder="1"/>
    <xf numFmtId="2" fontId="0" fillId="0" borderId="1" xfId="0" applyNumberFormat="1" applyBorder="1"/>
    <xf numFmtId="2" fontId="0" fillId="0" borderId="1" xfId="0" applyNumberFormat="1" applyBorder="1" applyAlignment="1">
      <alignment vertical="center" wrapText="1"/>
    </xf>
    <xf numFmtId="2" fontId="0" fillId="0" borderId="6" xfId="0" applyNumberFormat="1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2" fontId="0" fillId="0" borderId="7" xfId="0" applyNumberFormat="1" applyBorder="1"/>
    <xf numFmtId="0" fontId="0" fillId="0" borderId="8" xfId="0" applyBorder="1"/>
    <xf numFmtId="0" fontId="0" fillId="0" borderId="8" xfId="0" applyBorder="1" applyAlignment="1">
      <alignment vertical="center" wrapText="1"/>
    </xf>
    <xf numFmtId="2" fontId="0" fillId="0" borderId="8" xfId="0" applyNumberFormat="1" applyBorder="1"/>
    <xf numFmtId="2" fontId="0" fillId="0" borderId="9" xfId="0" applyNumberFormat="1" applyBorder="1"/>
    <xf numFmtId="2" fontId="0" fillId="0" borderId="9" xfId="0" applyNumberFormat="1" applyBorder="1" applyAlignment="1">
      <alignment vertical="center" wrapText="1"/>
    </xf>
    <xf numFmtId="2" fontId="0" fillId="0" borderId="10" xfId="0" applyNumberFormat="1" applyBorder="1" applyAlignment="1">
      <alignment vertical="center" wrapText="1"/>
    </xf>
    <xf numFmtId="2" fontId="0" fillId="0" borderId="10" xfId="0" applyNumberFormat="1" applyBorder="1"/>
    <xf numFmtId="2" fontId="0" fillId="0" borderId="11" xfId="0" applyNumberFormat="1" applyBorder="1" applyAlignment="1">
      <alignment vertical="center" wrapText="1"/>
    </xf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14" fontId="1" fillId="0" borderId="15" xfId="0" applyNumberFormat="1" applyFont="1" applyBorder="1"/>
    <xf numFmtId="2" fontId="0" fillId="0" borderId="16" xfId="0" applyNumberFormat="1" applyBorder="1"/>
    <xf numFmtId="0" fontId="0" fillId="0" borderId="17" xfId="0" applyBorder="1"/>
    <xf numFmtId="2" fontId="0" fillId="0" borderId="4" xfId="0" applyNumberFormat="1" applyBorder="1"/>
    <xf numFmtId="0" fontId="0" fillId="0" borderId="17" xfId="0" applyBorder="1" applyAlignment="1">
      <alignment vertical="center" wrapText="1"/>
    </xf>
    <xf numFmtId="14" fontId="1" fillId="0" borderId="17" xfId="0" applyNumberFormat="1" applyFont="1" applyBorder="1"/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14" fontId="0" fillId="0" borderId="17" xfId="0" applyNumberFormat="1" applyBorder="1"/>
    <xf numFmtId="14" fontId="0" fillId="0" borderId="17" xfId="0" applyNumberFormat="1" applyBorder="1" applyAlignment="1">
      <alignment horizontal="center"/>
    </xf>
    <xf numFmtId="14" fontId="0" fillId="0" borderId="17" xfId="0" applyNumberFormat="1" applyBorder="1" applyAlignment="1">
      <alignment wrapText="1"/>
    </xf>
    <xf numFmtId="14" fontId="0" fillId="0" borderId="18" xfId="0" applyNumberFormat="1" applyBorder="1" applyAlignment="1">
      <alignment wrapText="1"/>
    </xf>
    <xf numFmtId="2" fontId="0" fillId="0" borderId="19" xfId="0" applyNumberFormat="1" applyBorder="1"/>
    <xf numFmtId="2" fontId="0" fillId="0" borderId="20" xfId="0" applyNumberFormat="1" applyBorder="1"/>
    <xf numFmtId="0" fontId="0" fillId="0" borderId="17" xfId="0" applyBorder="1" applyAlignment="1">
      <alignment horizontal="left" wrapText="1"/>
    </xf>
    <xf numFmtId="2" fontId="0" fillId="0" borderId="15" xfId="0" applyNumberFormat="1" applyBorder="1"/>
    <xf numFmtId="2" fontId="0" fillId="0" borderId="17" xfId="0" applyNumberFormat="1" applyBorder="1"/>
    <xf numFmtId="0" fontId="3" fillId="2" borderId="0" xfId="0" applyFont="1" applyFill="1"/>
    <xf numFmtId="0" fontId="0" fillId="0" borderId="21" xfId="0" applyBorder="1"/>
    <xf numFmtId="0" fontId="0" fillId="2" borderId="23" xfId="0" applyFill="1" applyBorder="1"/>
    <xf numFmtId="0" fontId="0" fillId="2" borderId="21" xfId="0" applyFill="1" applyBorder="1" applyAlignment="1">
      <alignment horizontal="center"/>
    </xf>
    <xf numFmtId="0" fontId="0" fillId="2" borderId="24" xfId="0" applyFill="1" applyBorder="1"/>
    <xf numFmtId="0" fontId="0" fillId="2" borderId="25" xfId="0" applyFill="1" applyBorder="1"/>
    <xf numFmtId="2" fontId="0" fillId="2" borderId="26" xfId="0" applyNumberFormat="1" applyFill="1" applyBorder="1"/>
    <xf numFmtId="0" fontId="0" fillId="2" borderId="27" xfId="0" applyFill="1" applyBorder="1"/>
    <xf numFmtId="0" fontId="1" fillId="2" borderId="22" xfId="0" applyFont="1" applyFill="1" applyBorder="1"/>
    <xf numFmtId="0" fontId="0" fillId="2" borderId="28" xfId="0" applyFill="1" applyBorder="1" applyAlignment="1">
      <alignment horizontal="justify" vertical="center"/>
    </xf>
    <xf numFmtId="0" fontId="0" fillId="2" borderId="29" xfId="0" applyFill="1" applyBorder="1" applyAlignment="1">
      <alignment horizontal="justify" vertical="center"/>
    </xf>
    <xf numFmtId="2" fontId="0" fillId="2" borderId="30" xfId="0" applyNumberFormat="1" applyFill="1" applyBorder="1"/>
    <xf numFmtId="0" fontId="1" fillId="2" borderId="31" xfId="0" applyFont="1" applyFill="1" applyBorder="1"/>
    <xf numFmtId="0" fontId="0" fillId="2" borderId="27" xfId="0" applyFill="1" applyBorder="1" applyAlignment="1">
      <alignment wrapText="1"/>
    </xf>
    <xf numFmtId="2" fontId="0" fillId="2" borderId="32" xfId="0" applyNumberFormat="1" applyFill="1" applyBorder="1"/>
    <xf numFmtId="0" fontId="1" fillId="2" borderId="22" xfId="0" applyFont="1" applyFill="1" applyBorder="1" applyAlignment="1">
      <alignment wrapText="1"/>
    </xf>
    <xf numFmtId="0" fontId="0" fillId="2" borderId="0" xfId="0" applyFill="1"/>
    <xf numFmtId="2" fontId="0" fillId="2" borderId="33" xfId="0" applyNumberFormat="1" applyFill="1" applyBorder="1"/>
    <xf numFmtId="0" fontId="1" fillId="2" borderId="21" xfId="0" applyFont="1" applyFill="1" applyBorder="1" applyAlignment="1">
      <alignment horizontal="center" wrapText="1"/>
    </xf>
    <xf numFmtId="0" fontId="4" fillId="0" borderId="0" xfId="1"/>
    <xf numFmtId="0" fontId="6" fillId="0" borderId="34" xfId="1" applyFont="1" applyBorder="1" applyAlignment="1">
      <alignment horizontal="center" vertical="center"/>
    </xf>
    <xf numFmtId="0" fontId="6" fillId="0" borderId="34" xfId="1" applyFont="1" applyBorder="1" applyAlignment="1">
      <alignment horizontal="left" vertical="center"/>
    </xf>
    <xf numFmtId="0" fontId="7" fillId="0" borderId="34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left" vertical="center"/>
    </xf>
    <xf numFmtId="0" fontId="7" fillId="0" borderId="4" xfId="1" applyFont="1" applyBorder="1" applyAlignment="1">
      <alignment horizontal="center" vertical="center"/>
    </xf>
    <xf numFmtId="4" fontId="7" fillId="0" borderId="4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left" vertical="center"/>
    </xf>
    <xf numFmtId="0" fontId="6" fillId="0" borderId="6" xfId="1" applyFont="1" applyBorder="1" applyAlignment="1">
      <alignment horizontal="center" vertical="center"/>
    </xf>
    <xf numFmtId="4" fontId="6" fillId="0" borderId="35" xfId="1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/>
    <xf numFmtId="0" fontId="8" fillId="0" borderId="0" xfId="0" applyFont="1"/>
    <xf numFmtId="0" fontId="1" fillId="0" borderId="0" xfId="0" applyFont="1" applyAlignment="1">
      <alignment horizontal="center"/>
    </xf>
    <xf numFmtId="0" fontId="9" fillId="2" borderId="22" xfId="0" applyFont="1" applyFill="1" applyBorder="1"/>
    <xf numFmtId="0" fontId="10" fillId="0" borderId="39" xfId="0" applyFont="1" applyBorder="1" applyAlignment="1">
      <alignment vertical="center" wrapText="1"/>
    </xf>
    <xf numFmtId="0" fontId="10" fillId="0" borderId="40" xfId="0" applyFont="1" applyBorder="1" applyAlignment="1">
      <alignment vertical="center" wrapText="1"/>
    </xf>
    <xf numFmtId="0" fontId="11" fillId="0" borderId="40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38" xfId="0" applyBorder="1" applyAlignment="1">
      <alignment horizontal="center"/>
    </xf>
    <xf numFmtId="0" fontId="9" fillId="2" borderId="0" xfId="0" applyFont="1" applyFill="1" applyAlignment="1">
      <alignment horizontal="center"/>
    </xf>
    <xf numFmtId="0" fontId="0" fillId="2" borderId="42" xfId="0" applyFill="1" applyBorder="1"/>
    <xf numFmtId="0" fontId="0" fillId="2" borderId="17" xfId="0" applyFill="1" applyBorder="1"/>
    <xf numFmtId="0" fontId="0" fillId="2" borderId="43" xfId="0" applyFill="1" applyBorder="1"/>
    <xf numFmtId="0" fontId="0" fillId="2" borderId="44" xfId="0" applyFill="1" applyBorder="1" applyAlignment="1">
      <alignment horizontal="justify" vertical="center"/>
    </xf>
    <xf numFmtId="0" fontId="9" fillId="2" borderId="41" xfId="0" applyFont="1" applyFill="1" applyBorder="1"/>
    <xf numFmtId="0" fontId="0" fillId="2" borderId="45" xfId="0" applyFill="1" applyBorder="1" applyAlignment="1">
      <alignment horizontal="center"/>
    </xf>
    <xf numFmtId="0" fontId="1" fillId="2" borderId="41" xfId="0" applyFont="1" applyFill="1" applyBorder="1"/>
    <xf numFmtId="0" fontId="1" fillId="2" borderId="46" xfId="0" applyFont="1" applyFill="1" applyBorder="1"/>
    <xf numFmtId="0" fontId="0" fillId="2" borderId="47" xfId="0" applyFill="1" applyBorder="1"/>
    <xf numFmtId="0" fontId="1" fillId="2" borderId="41" xfId="0" applyFont="1" applyFill="1" applyBorder="1" applyAlignment="1">
      <alignment wrapText="1"/>
    </xf>
    <xf numFmtId="0" fontId="0" fillId="0" borderId="47" xfId="0" applyBorder="1" applyAlignment="1">
      <alignment vertical="center"/>
    </xf>
    <xf numFmtId="0" fontId="1" fillId="2" borderId="45" xfId="0" applyFont="1" applyFill="1" applyBorder="1" applyAlignment="1">
      <alignment horizontal="center" wrapText="1"/>
    </xf>
    <xf numFmtId="0" fontId="0" fillId="2" borderId="47" xfId="0" applyFill="1" applyBorder="1" applyAlignment="1">
      <alignment wrapText="1"/>
    </xf>
    <xf numFmtId="0" fontId="0" fillId="2" borderId="48" xfId="0" applyFill="1" applyBorder="1" applyAlignment="1">
      <alignment wrapText="1"/>
    </xf>
    <xf numFmtId="0" fontId="1" fillId="0" borderId="49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 wrapText="1"/>
    </xf>
    <xf numFmtId="0" fontId="0" fillId="0" borderId="50" xfId="0" applyBorder="1" applyAlignment="1">
      <alignment vertical="center"/>
    </xf>
    <xf numFmtId="4" fontId="0" fillId="0" borderId="50" xfId="0" applyNumberFormat="1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0" xfId="0" applyBorder="1"/>
    <xf numFmtId="0" fontId="1" fillId="0" borderId="5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49" xfId="0" applyFont="1" applyBorder="1"/>
    <xf numFmtId="0" fontId="1" fillId="0" borderId="39" xfId="0" applyFont="1" applyBorder="1" applyAlignment="1">
      <alignment vertical="center" wrapText="1"/>
    </xf>
    <xf numFmtId="0" fontId="0" fillId="0" borderId="39" xfId="0" applyBorder="1"/>
    <xf numFmtId="0" fontId="0" fillId="0" borderId="39" xfId="0" applyBorder="1" applyAlignment="1">
      <alignment vertical="center"/>
    </xf>
    <xf numFmtId="4" fontId="1" fillId="0" borderId="39" xfId="0" applyNumberFormat="1" applyFont="1" applyBorder="1" applyAlignment="1">
      <alignment vertic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52" xfId="0" applyBorder="1" applyAlignment="1">
      <alignment horizontal="center" vertical="center"/>
    </xf>
    <xf numFmtId="0" fontId="0" fillId="0" borderId="52" xfId="0" applyBorder="1"/>
    <xf numFmtId="0" fontId="0" fillId="0" borderId="53" xfId="0" applyBorder="1"/>
    <xf numFmtId="0" fontId="0" fillId="0" borderId="52" xfId="0" applyBorder="1" applyAlignment="1">
      <alignment vertical="center"/>
    </xf>
    <xf numFmtId="0" fontId="0" fillId="0" borderId="54" xfId="0" applyBorder="1"/>
    <xf numFmtId="0" fontId="0" fillId="0" borderId="54" xfId="0" applyBorder="1" applyAlignment="1">
      <alignment vertical="center"/>
    </xf>
    <xf numFmtId="0" fontId="1" fillId="0" borderId="54" xfId="0" applyFont="1" applyBorder="1"/>
    <xf numFmtId="0" fontId="0" fillId="0" borderId="55" xfId="0" applyBorder="1"/>
    <xf numFmtId="0" fontId="1" fillId="0" borderId="37" xfId="0" applyFont="1" applyBorder="1"/>
    <xf numFmtId="0" fontId="10" fillId="0" borderId="5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0" fillId="0" borderId="0" xfId="0" applyBorder="1"/>
  </cellXfs>
  <cellStyles count="2">
    <cellStyle name="Normal" xfId="0" builtinId="0"/>
    <cellStyle name="Normal 2" xfId="1" xr:uid="{BEDD722C-7952-4F7D-A512-CF3775252E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EF5A-62EC-430C-B338-F3C7BEE07D38}">
  <sheetPr codeName="Hoja1"/>
  <dimension ref="B4:H78"/>
  <sheetViews>
    <sheetView zoomScaleNormal="100" workbookViewId="0">
      <selection activeCell="D72" sqref="D72"/>
    </sheetView>
  </sheetViews>
  <sheetFormatPr baseColWidth="10" defaultRowHeight="15" x14ac:dyDescent="0.25"/>
  <cols>
    <col min="1" max="1" width="16.7109375" customWidth="1"/>
    <col min="2" max="2" width="3.28515625" customWidth="1"/>
    <col min="3" max="3" width="38.7109375" customWidth="1"/>
    <col min="4" max="4" width="11.28515625" style="10"/>
    <col min="5" max="5" width="14.85546875" style="10" customWidth="1"/>
  </cols>
  <sheetData>
    <row r="4" spans="2:8" x14ac:dyDescent="0.25">
      <c r="C4" t="s">
        <v>29</v>
      </c>
    </row>
    <row r="5" spans="2:8" x14ac:dyDescent="0.25">
      <c r="C5" t="s">
        <v>30</v>
      </c>
    </row>
    <row r="6" spans="2:8" x14ac:dyDescent="0.25">
      <c r="B6" s="2"/>
      <c r="C6" s="2"/>
      <c r="D6" s="17"/>
      <c r="E6" s="17"/>
    </row>
    <row r="7" spans="2:8" x14ac:dyDescent="0.25">
      <c r="B7" s="1"/>
      <c r="C7" s="4" t="s">
        <v>0</v>
      </c>
      <c r="D7" s="18"/>
      <c r="E7" s="18"/>
    </row>
    <row r="8" spans="2:8" x14ac:dyDescent="0.25">
      <c r="B8" s="1"/>
      <c r="C8" s="3" t="s">
        <v>36</v>
      </c>
      <c r="D8" s="18"/>
      <c r="E8" s="18"/>
    </row>
    <row r="9" spans="2:8" x14ac:dyDescent="0.25">
      <c r="B9" s="1"/>
      <c r="C9" s="3" t="s">
        <v>1</v>
      </c>
      <c r="D9" s="18"/>
      <c r="E9" s="18"/>
    </row>
    <row r="10" spans="2:8" x14ac:dyDescent="0.25">
      <c r="B10" s="1"/>
      <c r="C10" s="3" t="s">
        <v>2</v>
      </c>
      <c r="D10" s="18"/>
      <c r="E10" s="18"/>
    </row>
    <row r="11" spans="2:8" ht="15.75" thickBot="1" x14ac:dyDescent="0.3">
      <c r="B11" s="1"/>
      <c r="C11" s="6" t="s">
        <v>3</v>
      </c>
      <c r="D11" s="33">
        <v>3000</v>
      </c>
      <c r="E11" s="33">
        <v>3000</v>
      </c>
    </row>
    <row r="12" spans="2:8" x14ac:dyDescent="0.25">
      <c r="B12" s="1"/>
      <c r="C12" s="7" t="s">
        <v>4</v>
      </c>
      <c r="D12" s="30"/>
      <c r="E12" s="30"/>
    </row>
    <row r="13" spans="2:8" ht="15.75" thickBot="1" x14ac:dyDescent="0.3">
      <c r="B13" s="1"/>
      <c r="C13" s="6" t="s">
        <v>15</v>
      </c>
      <c r="D13" s="33">
        <v>15000</v>
      </c>
      <c r="E13" s="33">
        <v>15000</v>
      </c>
    </row>
    <row r="14" spans="2:8" x14ac:dyDescent="0.25">
      <c r="B14" s="1"/>
      <c r="C14" s="7" t="s">
        <v>35</v>
      </c>
      <c r="D14" s="30"/>
      <c r="E14" s="30"/>
    </row>
    <row r="15" spans="2:8" x14ac:dyDescent="0.25">
      <c r="B15" s="1"/>
      <c r="C15" s="7" t="s">
        <v>34</v>
      </c>
      <c r="D15" s="19"/>
      <c r="E15" s="19"/>
    </row>
    <row r="16" spans="2:8" ht="30.75" thickBot="1" x14ac:dyDescent="0.3">
      <c r="B16" s="1"/>
      <c r="C16" s="16" t="s">
        <v>71</v>
      </c>
      <c r="D16" s="20"/>
      <c r="E16" s="33">
        <v>26833.58</v>
      </c>
      <c r="G16" s="9"/>
      <c r="H16" s="14"/>
    </row>
    <row r="17" spans="2:8" x14ac:dyDescent="0.25">
      <c r="B17" s="1"/>
      <c r="C17" s="22" t="s">
        <v>37</v>
      </c>
      <c r="D17" s="19"/>
      <c r="E17" s="30"/>
      <c r="G17" s="9"/>
      <c r="H17" s="14"/>
    </row>
    <row r="18" spans="2:8" x14ac:dyDescent="0.25">
      <c r="B18" s="1"/>
      <c r="C18" s="22" t="s">
        <v>38</v>
      </c>
      <c r="D18" s="19"/>
      <c r="E18" s="19"/>
      <c r="G18" s="9"/>
      <c r="H18" s="14"/>
    </row>
    <row r="19" spans="2:8" x14ac:dyDescent="0.25">
      <c r="B19" s="1"/>
      <c r="C19" s="22" t="s">
        <v>12</v>
      </c>
      <c r="D19" s="19"/>
      <c r="E19" s="19"/>
      <c r="G19" s="9"/>
      <c r="H19" s="14"/>
    </row>
    <row r="20" spans="2:8" ht="15.75" thickBot="1" x14ac:dyDescent="0.3">
      <c r="B20" s="1">
        <v>1</v>
      </c>
      <c r="C20" s="16" t="s">
        <v>39</v>
      </c>
      <c r="D20" s="19"/>
      <c r="E20" s="34">
        <v>3500</v>
      </c>
      <c r="G20" s="9"/>
      <c r="H20" s="14"/>
    </row>
    <row r="21" spans="2:8" x14ac:dyDescent="0.25">
      <c r="B21" s="1"/>
      <c r="C21" s="7" t="s">
        <v>13</v>
      </c>
      <c r="D21" s="19"/>
      <c r="E21" s="30"/>
    </row>
    <row r="22" spans="2:8" x14ac:dyDescent="0.25">
      <c r="B22" s="1"/>
      <c r="C22" s="7" t="s">
        <v>14</v>
      </c>
      <c r="D22" s="19"/>
      <c r="E22" s="19"/>
    </row>
    <row r="23" spans="2:8" x14ac:dyDescent="0.25">
      <c r="B23" s="1">
        <v>1</v>
      </c>
      <c r="C23" s="6" t="s">
        <v>17</v>
      </c>
      <c r="D23" s="19">
        <v>4464.29</v>
      </c>
      <c r="E23" s="19"/>
    </row>
    <row r="24" spans="2:8" x14ac:dyDescent="0.25">
      <c r="B24" s="1">
        <v>1</v>
      </c>
      <c r="C24" s="6" t="s">
        <v>18</v>
      </c>
      <c r="D24" s="19">
        <v>1785.71</v>
      </c>
      <c r="E24" s="19"/>
    </row>
    <row r="25" spans="2:8" x14ac:dyDescent="0.25">
      <c r="B25" s="1">
        <v>1</v>
      </c>
      <c r="C25" s="6" t="s">
        <v>19</v>
      </c>
      <c r="D25" s="19">
        <f>D24</f>
        <v>1785.71</v>
      </c>
      <c r="E25" s="19"/>
    </row>
    <row r="26" spans="2:8" x14ac:dyDescent="0.25">
      <c r="B26" s="1">
        <v>1</v>
      </c>
      <c r="C26" s="6" t="s">
        <v>16</v>
      </c>
      <c r="D26" s="19">
        <v>17857.14</v>
      </c>
      <c r="E26" s="19"/>
    </row>
    <row r="27" spans="2:8" x14ac:dyDescent="0.25">
      <c r="B27" s="1">
        <v>1</v>
      </c>
      <c r="C27" s="6" t="s">
        <v>20</v>
      </c>
      <c r="D27" s="19">
        <v>13392.86</v>
      </c>
      <c r="E27" s="19"/>
    </row>
    <row r="28" spans="2:8" x14ac:dyDescent="0.25">
      <c r="B28" s="1">
        <v>1</v>
      </c>
      <c r="C28" s="6" t="s">
        <v>5</v>
      </c>
      <c r="D28" s="19">
        <v>16964.29</v>
      </c>
      <c r="E28" s="19"/>
    </row>
    <row r="29" spans="2:8" x14ac:dyDescent="0.25">
      <c r="B29" s="1">
        <v>1</v>
      </c>
      <c r="C29" s="6" t="s">
        <v>6</v>
      </c>
      <c r="D29" s="19">
        <v>13392.86</v>
      </c>
      <c r="E29" s="19"/>
    </row>
    <row r="30" spans="2:8" x14ac:dyDescent="0.25">
      <c r="B30" s="1">
        <v>1</v>
      </c>
      <c r="C30" s="6" t="s">
        <v>7</v>
      </c>
      <c r="D30" s="19">
        <f>D29</f>
        <v>13392.86</v>
      </c>
      <c r="E30" s="19"/>
    </row>
    <row r="31" spans="2:8" x14ac:dyDescent="0.25">
      <c r="B31" s="1">
        <v>25</v>
      </c>
      <c r="C31" s="6" t="s">
        <v>21</v>
      </c>
      <c r="D31" s="19">
        <v>22321.43</v>
      </c>
      <c r="E31" s="19"/>
    </row>
    <row r="32" spans="2:8" x14ac:dyDescent="0.25">
      <c r="B32" s="1">
        <v>15</v>
      </c>
      <c r="C32" s="6" t="s">
        <v>22</v>
      </c>
      <c r="D32" s="19">
        <f>D30</f>
        <v>13392.86</v>
      </c>
      <c r="E32" s="19"/>
    </row>
    <row r="33" spans="2:7" x14ac:dyDescent="0.25">
      <c r="B33" s="1">
        <v>1</v>
      </c>
      <c r="C33" s="6" t="s">
        <v>8</v>
      </c>
      <c r="D33" s="19">
        <v>44642.86</v>
      </c>
      <c r="E33" s="19"/>
    </row>
    <row r="34" spans="2:7" x14ac:dyDescent="0.25">
      <c r="B34" s="1">
        <v>1</v>
      </c>
      <c r="C34" s="6" t="s">
        <v>9</v>
      </c>
      <c r="D34" s="19">
        <v>26785.71</v>
      </c>
      <c r="E34" s="19"/>
    </row>
    <row r="35" spans="2:7" x14ac:dyDescent="0.25">
      <c r="B35" s="1">
        <v>1</v>
      </c>
      <c r="C35" s="6" t="s">
        <v>10</v>
      </c>
      <c r="D35" s="19">
        <v>12500</v>
      </c>
      <c r="E35" s="19"/>
    </row>
    <row r="36" spans="2:7" ht="15.75" thickBot="1" x14ac:dyDescent="0.3">
      <c r="B36" s="1">
        <v>1</v>
      </c>
      <c r="C36" s="6" t="s">
        <v>11</v>
      </c>
      <c r="D36" s="31">
        <v>16071.43</v>
      </c>
      <c r="E36" s="32">
        <f>SUM(D23:D36)</f>
        <v>218750.00999999998</v>
      </c>
    </row>
    <row r="37" spans="2:7" ht="15.75" thickTop="1" x14ac:dyDescent="0.25">
      <c r="B37" s="1"/>
      <c r="C37" s="7" t="s">
        <v>62</v>
      </c>
      <c r="D37" s="30"/>
      <c r="E37" s="29"/>
    </row>
    <row r="38" spans="2:7" x14ac:dyDescent="0.25">
      <c r="B38" s="1">
        <v>12</v>
      </c>
      <c r="C38" s="6" t="s">
        <v>63</v>
      </c>
      <c r="D38" s="19">
        <v>214.9</v>
      </c>
      <c r="E38" s="18"/>
      <c r="G38" s="10">
        <f>SUM(E20,E36,E44)</f>
        <v>223613.12999999998</v>
      </c>
    </row>
    <row r="39" spans="2:7" x14ac:dyDescent="0.25">
      <c r="B39" s="1">
        <v>10</v>
      </c>
      <c r="C39" s="6" t="s">
        <v>64</v>
      </c>
      <c r="D39" s="19">
        <v>401.79</v>
      </c>
      <c r="E39" s="18"/>
    </row>
    <row r="40" spans="2:7" x14ac:dyDescent="0.25">
      <c r="B40" s="1">
        <v>6</v>
      </c>
      <c r="C40" s="6" t="s">
        <v>65</v>
      </c>
      <c r="D40" s="19">
        <v>64.290000000000006</v>
      </c>
      <c r="E40" s="18"/>
    </row>
    <row r="41" spans="2:7" x14ac:dyDescent="0.25">
      <c r="B41" s="1">
        <v>10</v>
      </c>
      <c r="C41" s="6" t="s">
        <v>66</v>
      </c>
      <c r="D41" s="19">
        <v>196.43</v>
      </c>
      <c r="E41" s="18"/>
    </row>
    <row r="42" spans="2:7" x14ac:dyDescent="0.25">
      <c r="B42" s="1">
        <v>10</v>
      </c>
      <c r="C42" s="6" t="s">
        <v>68</v>
      </c>
      <c r="D42" s="19">
        <v>223.21</v>
      </c>
      <c r="E42" s="18"/>
    </row>
    <row r="43" spans="2:7" x14ac:dyDescent="0.25">
      <c r="B43" s="1">
        <v>1</v>
      </c>
      <c r="C43" s="6" t="s">
        <v>69</v>
      </c>
      <c r="D43" s="19">
        <v>133.93</v>
      </c>
      <c r="E43" s="18"/>
    </row>
    <row r="44" spans="2:7" ht="15.75" thickBot="1" x14ac:dyDescent="0.3">
      <c r="B44" s="1">
        <v>12</v>
      </c>
      <c r="C44" s="6" t="s">
        <v>70</v>
      </c>
      <c r="D44" s="31">
        <v>128.57</v>
      </c>
      <c r="E44" s="32">
        <f>SUM(D38:D44)</f>
        <v>1363.1200000000001</v>
      </c>
    </row>
    <row r="45" spans="2:7" ht="15.75" thickTop="1" x14ac:dyDescent="0.25">
      <c r="B45" s="1"/>
      <c r="C45" s="7" t="s">
        <v>49</v>
      </c>
      <c r="D45" s="30"/>
      <c r="E45" s="29"/>
    </row>
    <row r="46" spans="2:7" ht="15.75" thickBot="1" x14ac:dyDescent="0.3">
      <c r="B46" s="1"/>
      <c r="C46" s="6" t="s">
        <v>67</v>
      </c>
      <c r="D46" s="19"/>
      <c r="E46" s="34">
        <v>300</v>
      </c>
    </row>
    <row r="47" spans="2:7" x14ac:dyDescent="0.25">
      <c r="B47" s="1"/>
      <c r="C47" s="6" t="s">
        <v>40</v>
      </c>
      <c r="D47" s="19"/>
      <c r="E47" s="29">
        <f>SUM(E11,E13,E16,E20,E36,E44,E46)</f>
        <v>268746.70999999996</v>
      </c>
    </row>
    <row r="48" spans="2:7" x14ac:dyDescent="0.25">
      <c r="B48" s="1"/>
      <c r="C48" s="23" t="s">
        <v>41</v>
      </c>
      <c r="D48" s="19"/>
      <c r="E48" s="18"/>
    </row>
    <row r="49" spans="2:6" ht="15.75" thickBot="1" x14ac:dyDescent="0.3">
      <c r="B49" s="1"/>
      <c r="C49" s="6" t="s">
        <v>40</v>
      </c>
      <c r="E49" s="35">
        <f>E47</f>
        <v>268746.70999999996</v>
      </c>
    </row>
    <row r="50" spans="2:6" ht="15.75" thickTop="1" x14ac:dyDescent="0.25">
      <c r="B50" s="1"/>
      <c r="C50" s="7"/>
      <c r="D50" s="19"/>
      <c r="E50" s="29"/>
    </row>
    <row r="51" spans="2:6" x14ac:dyDescent="0.25">
      <c r="B51" s="1"/>
      <c r="C51" s="1"/>
      <c r="E51" s="18"/>
    </row>
    <row r="52" spans="2:6" x14ac:dyDescent="0.25">
      <c r="B52" s="1"/>
      <c r="C52" s="3"/>
      <c r="D52" s="18"/>
      <c r="E52" s="18"/>
    </row>
    <row r="53" spans="2:6" x14ac:dyDescent="0.25">
      <c r="B53" s="26"/>
      <c r="C53" s="27"/>
      <c r="D53" s="28"/>
      <c r="E53" s="28"/>
    </row>
    <row r="54" spans="2:6" x14ac:dyDescent="0.25">
      <c r="C54" s="13"/>
    </row>
    <row r="56" spans="2:6" x14ac:dyDescent="0.25">
      <c r="C56" s="24"/>
    </row>
    <row r="57" spans="2:6" x14ac:dyDescent="0.25">
      <c r="F57" s="5"/>
    </row>
    <row r="58" spans="2:6" x14ac:dyDescent="0.25">
      <c r="C58" s="13"/>
      <c r="D58" s="21"/>
      <c r="E58" s="21"/>
      <c r="F58" s="5"/>
    </row>
    <row r="59" spans="2:6" x14ac:dyDescent="0.25">
      <c r="C59" s="13" t="s">
        <v>27</v>
      </c>
      <c r="D59" s="21"/>
      <c r="E59" s="21"/>
      <c r="F59" s="5"/>
    </row>
    <row r="60" spans="2:6" x14ac:dyDescent="0.25">
      <c r="C60" s="13" t="s">
        <v>31</v>
      </c>
      <c r="D60" s="21"/>
      <c r="E60" s="21"/>
      <c r="F60" s="5"/>
    </row>
    <row r="61" spans="2:6" x14ac:dyDescent="0.25">
      <c r="C61" s="13" t="s">
        <v>28</v>
      </c>
      <c r="D61" s="21"/>
      <c r="E61" s="21"/>
      <c r="F61" s="5"/>
    </row>
    <row r="62" spans="2:6" x14ac:dyDescent="0.25">
      <c r="C62" t="s">
        <v>26</v>
      </c>
    </row>
    <row r="63" spans="2:6" ht="45.75" customHeight="1" x14ac:dyDescent="0.25">
      <c r="C63" s="12" t="s">
        <v>43</v>
      </c>
    </row>
    <row r="68" spans="3:5" x14ac:dyDescent="0.25">
      <c r="C68" s="8" t="s">
        <v>23</v>
      </c>
    </row>
    <row r="69" spans="3:5" x14ac:dyDescent="0.25">
      <c r="C69" t="s">
        <v>2</v>
      </c>
      <c r="D69" s="10">
        <v>3000</v>
      </c>
    </row>
    <row r="70" spans="3:5" x14ac:dyDescent="0.25">
      <c r="C70" s="9" t="s">
        <v>4</v>
      </c>
      <c r="D70" s="10">
        <v>15000</v>
      </c>
    </row>
    <row r="71" spans="3:5" x14ac:dyDescent="0.25">
      <c r="C71" s="9" t="s">
        <v>34</v>
      </c>
      <c r="D71" s="10">
        <v>26833.58</v>
      </c>
    </row>
    <row r="72" spans="3:5" x14ac:dyDescent="0.25">
      <c r="C72" s="9" t="s">
        <v>42</v>
      </c>
      <c r="D72" s="10">
        <v>3500</v>
      </c>
    </row>
    <row r="73" spans="3:5" x14ac:dyDescent="0.25">
      <c r="C73" s="9" t="s">
        <v>14</v>
      </c>
      <c r="D73" s="10">
        <v>218750.01</v>
      </c>
    </row>
    <row r="74" spans="3:5" x14ac:dyDescent="0.25">
      <c r="C74" s="9" t="s">
        <v>62</v>
      </c>
      <c r="D74" s="10">
        <v>1362.12</v>
      </c>
    </row>
    <row r="75" spans="3:5" x14ac:dyDescent="0.25">
      <c r="C75" s="9" t="s">
        <v>49</v>
      </c>
      <c r="D75" s="10">
        <v>300</v>
      </c>
    </row>
    <row r="76" spans="3:5" ht="15.75" thickBot="1" x14ac:dyDescent="0.3">
      <c r="C76" s="9" t="s">
        <v>24</v>
      </c>
      <c r="E76" s="10">
        <f>D77</f>
        <v>268745.71000000002</v>
      </c>
    </row>
    <row r="77" spans="3:5" ht="16.5" thickTop="1" thickBot="1" x14ac:dyDescent="0.3">
      <c r="C77" s="9" t="s">
        <v>25</v>
      </c>
      <c r="D77" s="11">
        <f>SUM(D69:D75)</f>
        <v>268745.71000000002</v>
      </c>
      <c r="E77" s="11">
        <f>SUM(E76:E76)</f>
        <v>268745.71000000002</v>
      </c>
    </row>
    <row r="78" spans="3:5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3F8F-C55F-4E59-8711-B2E721B5F892}">
  <dimension ref="A1:I24"/>
  <sheetViews>
    <sheetView workbookViewId="0">
      <selection activeCell="C3" sqref="C3:H3"/>
    </sheetView>
  </sheetViews>
  <sheetFormatPr baseColWidth="10" defaultRowHeight="15" x14ac:dyDescent="0.25"/>
  <cols>
    <col min="1" max="1" width="3.85546875" customWidth="1"/>
    <col min="2" max="2" width="5" customWidth="1"/>
    <col min="3" max="3" width="34.140625" customWidth="1"/>
    <col min="4" max="4" width="9.5703125" customWidth="1"/>
  </cols>
  <sheetData>
    <row r="1" spans="1:9" ht="15.75" thickTop="1" x14ac:dyDescent="0.25">
      <c r="A1" s="102" t="s">
        <v>163</v>
      </c>
      <c r="B1" s="102"/>
      <c r="C1" s="102"/>
      <c r="D1" s="102"/>
      <c r="E1" s="102"/>
      <c r="F1" s="102"/>
      <c r="G1" s="102"/>
      <c r="H1" s="102"/>
      <c r="I1" s="102"/>
    </row>
    <row r="2" spans="1:9" x14ac:dyDescent="0.25">
      <c r="A2" s="95" t="s">
        <v>76</v>
      </c>
      <c r="B2" s="95"/>
      <c r="C2" s="95"/>
      <c r="D2" s="95"/>
      <c r="E2" s="95"/>
      <c r="F2" s="95"/>
      <c r="G2" s="95"/>
      <c r="H2" s="95"/>
    </row>
    <row r="3" spans="1:9" ht="15.75" thickBot="1" x14ac:dyDescent="0.3">
      <c r="B3" s="55"/>
      <c r="C3" s="103" t="s">
        <v>159</v>
      </c>
      <c r="D3" s="94"/>
      <c r="E3" s="94"/>
      <c r="F3" s="94"/>
      <c r="G3" s="94"/>
      <c r="H3" s="94"/>
    </row>
    <row r="4" spans="1:9" ht="15.75" thickBot="1" x14ac:dyDescent="0.3">
      <c r="A4" s="56"/>
      <c r="B4" s="55"/>
      <c r="C4" s="108" t="s">
        <v>0</v>
      </c>
    </row>
    <row r="5" spans="1:9" ht="16.5" thickTop="1" thickBot="1" x14ac:dyDescent="0.3">
      <c r="B5" s="104"/>
      <c r="C5" s="109"/>
      <c r="D5" s="106"/>
      <c r="E5" s="60"/>
      <c r="F5" s="61"/>
      <c r="G5" s="61"/>
      <c r="H5" s="61"/>
    </row>
    <row r="6" spans="1:9" ht="16.5" thickTop="1" thickBot="1" x14ac:dyDescent="0.3">
      <c r="B6" s="105"/>
      <c r="C6" s="110" t="s">
        <v>36</v>
      </c>
      <c r="D6" s="107"/>
      <c r="E6" s="65"/>
      <c r="F6" s="66"/>
      <c r="G6" s="66"/>
      <c r="H6" s="66"/>
    </row>
    <row r="7" spans="1:9" ht="15.75" thickBot="1" x14ac:dyDescent="0.3">
      <c r="B7" s="105"/>
      <c r="C7" s="111" t="s">
        <v>1</v>
      </c>
      <c r="D7" s="107"/>
      <c r="E7" s="65"/>
      <c r="F7" s="66"/>
      <c r="G7" s="66"/>
      <c r="H7" s="66"/>
    </row>
    <row r="8" spans="1:9" x14ac:dyDescent="0.25">
      <c r="B8" s="105"/>
      <c r="C8" s="112" t="s">
        <v>2</v>
      </c>
      <c r="D8" s="107"/>
      <c r="E8" s="65"/>
      <c r="F8" s="10">
        <v>3000</v>
      </c>
      <c r="G8" s="66"/>
    </row>
    <row r="9" spans="1:9" ht="15.75" thickBot="1" x14ac:dyDescent="0.3">
      <c r="B9" s="105"/>
      <c r="C9" s="112" t="s">
        <v>51</v>
      </c>
      <c r="D9" s="107"/>
      <c r="E9" s="65"/>
      <c r="F9" s="10">
        <v>15000</v>
      </c>
      <c r="G9" s="66">
        <f>SUM(F8:F9)</f>
        <v>18000</v>
      </c>
    </row>
    <row r="10" spans="1:9" ht="15.75" thickBot="1" x14ac:dyDescent="0.3">
      <c r="B10" s="105"/>
      <c r="C10" s="111" t="s">
        <v>35</v>
      </c>
      <c r="D10" s="107"/>
      <c r="E10" s="65"/>
      <c r="F10" s="66"/>
      <c r="G10" s="66"/>
    </row>
    <row r="11" spans="1:9" x14ac:dyDescent="0.25">
      <c r="B11" s="105"/>
      <c r="C11" s="112" t="s">
        <v>143</v>
      </c>
      <c r="D11" s="107"/>
      <c r="E11" s="65"/>
      <c r="F11" s="10">
        <v>26833.58</v>
      </c>
      <c r="H11" s="66"/>
    </row>
    <row r="12" spans="1:9" ht="15.75" thickBot="1" x14ac:dyDescent="0.3">
      <c r="B12" s="105"/>
      <c r="C12" s="112" t="s">
        <v>95</v>
      </c>
      <c r="D12" s="107"/>
      <c r="E12" s="65"/>
      <c r="F12" s="10">
        <v>3500</v>
      </c>
      <c r="G12" s="66">
        <f>SUM(F11:F12)</f>
        <v>30333.58</v>
      </c>
      <c r="H12" s="66"/>
    </row>
    <row r="13" spans="1:9" ht="15.75" thickBot="1" x14ac:dyDescent="0.3">
      <c r="B13" s="105"/>
      <c r="C13" s="113" t="s">
        <v>141</v>
      </c>
      <c r="D13" s="107"/>
      <c r="E13" s="65"/>
      <c r="F13" s="66"/>
      <c r="G13" s="66"/>
      <c r="H13" s="66"/>
    </row>
    <row r="14" spans="1:9" x14ac:dyDescent="0.25">
      <c r="B14" s="105"/>
      <c r="C14" s="114" t="s">
        <v>14</v>
      </c>
      <c r="D14" s="107"/>
      <c r="E14" s="65"/>
      <c r="F14">
        <v>218750.01</v>
      </c>
      <c r="G14" s="66"/>
      <c r="H14" s="66"/>
    </row>
    <row r="15" spans="1:9" x14ac:dyDescent="0.25">
      <c r="B15" s="105"/>
      <c r="C15" s="114" t="s">
        <v>62</v>
      </c>
      <c r="D15" s="107"/>
      <c r="E15" s="65"/>
      <c r="F15">
        <v>1362.12</v>
      </c>
      <c r="H15" s="66"/>
    </row>
    <row r="16" spans="1:9" ht="15.75" thickBot="1" x14ac:dyDescent="0.3">
      <c r="B16" s="105"/>
      <c r="C16" s="114" t="s">
        <v>49</v>
      </c>
      <c r="D16" s="107"/>
      <c r="E16" s="65"/>
      <c r="F16">
        <v>300</v>
      </c>
      <c r="G16" s="69">
        <f>SUM(F14:F16)</f>
        <v>220412.13</v>
      </c>
      <c r="H16" s="66">
        <f>SUM(G9:G16)</f>
        <v>268745.71000000002</v>
      </c>
    </row>
    <row r="17" spans="2:8" ht="16.5" thickTop="1" thickBot="1" x14ac:dyDescent="0.3">
      <c r="B17" s="105"/>
      <c r="C17" s="113" t="s">
        <v>142</v>
      </c>
      <c r="D17" s="107"/>
      <c r="E17" s="65"/>
      <c r="F17" s="71"/>
      <c r="G17" s="66"/>
      <c r="H17" s="72"/>
    </row>
    <row r="18" spans="2:8" ht="15.75" thickBot="1" x14ac:dyDescent="0.3">
      <c r="B18" s="105"/>
      <c r="C18" s="115" t="s">
        <v>144</v>
      </c>
      <c r="D18" s="107"/>
      <c r="E18" s="65"/>
      <c r="F18" s="66"/>
      <c r="G18" s="66"/>
      <c r="H18" s="66"/>
    </row>
    <row r="19" spans="2:8" ht="15.75" thickTop="1" x14ac:dyDescent="0.25">
      <c r="B19" s="105"/>
      <c r="C19" s="116" t="s">
        <v>145</v>
      </c>
      <c r="D19" s="107"/>
      <c r="E19" s="65"/>
      <c r="F19" s="66"/>
      <c r="G19" s="66"/>
      <c r="H19">
        <v>268745.71000000002</v>
      </c>
    </row>
    <row r="20" spans="2:8" ht="15.75" thickBot="1" x14ac:dyDescent="0.3">
      <c r="B20" s="105"/>
      <c r="C20" s="117"/>
      <c r="D20" s="107"/>
      <c r="E20" s="65"/>
      <c r="F20" s="66"/>
      <c r="G20" s="66"/>
    </row>
    <row r="22" spans="2:8" x14ac:dyDescent="0.25">
      <c r="C22" s="62" t="s">
        <v>160</v>
      </c>
      <c r="D22" s="64"/>
      <c r="E22" s="65"/>
      <c r="F22" s="66"/>
      <c r="G22" s="66"/>
      <c r="H22" s="66"/>
    </row>
    <row r="23" spans="2:8" x14ac:dyDescent="0.25">
      <c r="C23" s="62" t="s">
        <v>161</v>
      </c>
      <c r="D23" s="64"/>
      <c r="E23" s="65"/>
      <c r="F23" s="66"/>
      <c r="G23" s="66"/>
      <c r="H23" s="66"/>
    </row>
    <row r="24" spans="2:8" x14ac:dyDescent="0.25">
      <c r="C24" s="62" t="s">
        <v>162</v>
      </c>
      <c r="D24" s="64"/>
      <c r="E24" s="65"/>
      <c r="F24" s="66"/>
      <c r="G24" s="66"/>
      <c r="H24" s="66"/>
    </row>
  </sheetData>
  <mergeCells count="3">
    <mergeCell ref="A1:I1"/>
    <mergeCell ref="C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24EF-2592-4B15-B36E-8332BEA51ADA}">
  <dimension ref="A2:H45"/>
  <sheetViews>
    <sheetView workbookViewId="0">
      <selection activeCell="H9" sqref="H9"/>
    </sheetView>
  </sheetViews>
  <sheetFormatPr baseColWidth="10" defaultRowHeight="15" x14ac:dyDescent="0.25"/>
  <cols>
    <col min="2" max="2" width="49.7109375" bestFit="1" customWidth="1"/>
    <col min="3" max="4" width="11.28515625" style="10"/>
  </cols>
  <sheetData>
    <row r="2" spans="1:8" x14ac:dyDescent="0.25">
      <c r="A2" s="95" t="s">
        <v>46</v>
      </c>
      <c r="B2" s="95"/>
      <c r="C2" s="95"/>
      <c r="D2" s="95"/>
      <c r="E2" s="95"/>
    </row>
    <row r="3" spans="1:8" x14ac:dyDescent="0.25">
      <c r="A3" s="95" t="s">
        <v>45</v>
      </c>
      <c r="B3" s="95"/>
      <c r="C3" s="95"/>
      <c r="D3" s="95"/>
      <c r="E3" s="95"/>
    </row>
    <row r="4" spans="1:8" x14ac:dyDescent="0.25">
      <c r="A4" s="95" t="s">
        <v>32</v>
      </c>
      <c r="B4" s="95"/>
      <c r="C4" s="95"/>
      <c r="D4" s="95"/>
      <c r="E4" s="95"/>
    </row>
    <row r="6" spans="1:8" x14ac:dyDescent="0.25">
      <c r="A6" s="24" t="s">
        <v>44</v>
      </c>
      <c r="B6" s="38">
        <v>46082</v>
      </c>
      <c r="C6" s="53"/>
      <c r="D6" s="39"/>
    </row>
    <row r="7" spans="1:8" x14ac:dyDescent="0.25">
      <c r="B7" s="40" t="s">
        <v>2</v>
      </c>
      <c r="C7" s="54">
        <v>3000</v>
      </c>
      <c r="D7" s="41"/>
    </row>
    <row r="8" spans="1:8" x14ac:dyDescent="0.25">
      <c r="B8" s="42" t="s">
        <v>4</v>
      </c>
      <c r="C8" s="54">
        <v>15000</v>
      </c>
      <c r="D8" s="41"/>
    </row>
    <row r="9" spans="1:8" x14ac:dyDescent="0.25">
      <c r="B9" s="42" t="s">
        <v>34</v>
      </c>
      <c r="C9" s="54">
        <v>26833.58</v>
      </c>
      <c r="D9" s="41"/>
    </row>
    <row r="10" spans="1:8" x14ac:dyDescent="0.25">
      <c r="B10" s="42" t="s">
        <v>42</v>
      </c>
      <c r="C10" s="54">
        <v>3500</v>
      </c>
      <c r="D10" s="41"/>
    </row>
    <row r="11" spans="1:8" x14ac:dyDescent="0.25">
      <c r="B11" s="42" t="s">
        <v>14</v>
      </c>
      <c r="C11" s="54">
        <v>218750.01</v>
      </c>
      <c r="D11" s="41"/>
    </row>
    <row r="12" spans="1:8" x14ac:dyDescent="0.25">
      <c r="B12" s="42" t="s">
        <v>62</v>
      </c>
      <c r="C12" s="54">
        <v>1362.12</v>
      </c>
      <c r="D12" s="41"/>
    </row>
    <row r="13" spans="1:8" x14ac:dyDescent="0.25">
      <c r="B13" s="42" t="s">
        <v>49</v>
      </c>
      <c r="C13" s="54">
        <v>300</v>
      </c>
      <c r="D13" s="41"/>
    </row>
    <row r="14" spans="1:8" ht="15.75" thickBot="1" x14ac:dyDescent="0.3">
      <c r="B14" s="42" t="s">
        <v>24</v>
      </c>
      <c r="C14" s="54"/>
      <c r="D14" s="41">
        <f>C15</f>
        <v>268745.71000000002</v>
      </c>
    </row>
    <row r="15" spans="1:8" ht="46.5" thickTop="1" thickBot="1" x14ac:dyDescent="0.3">
      <c r="B15" s="52" t="s">
        <v>33</v>
      </c>
      <c r="C15" s="15">
        <f>SUM(C7:C13)</f>
        <v>268745.71000000002</v>
      </c>
      <c r="D15" s="25">
        <f>SUM(D11:D14)</f>
        <v>268745.71000000002</v>
      </c>
      <c r="G15" s="9"/>
      <c r="H15" s="14"/>
    </row>
    <row r="16" spans="1:8" ht="15.75" thickTop="1" x14ac:dyDescent="0.25">
      <c r="A16" s="24" t="s">
        <v>47</v>
      </c>
      <c r="B16" s="43">
        <v>46082</v>
      </c>
      <c r="C16" s="54"/>
      <c r="D16" s="41"/>
    </row>
    <row r="17" spans="1:8" x14ac:dyDescent="0.25">
      <c r="B17" s="42" t="s">
        <v>42</v>
      </c>
      <c r="C17" s="54">
        <v>1785.71</v>
      </c>
      <c r="D17" s="41"/>
    </row>
    <row r="18" spans="1:8" x14ac:dyDescent="0.25">
      <c r="B18" s="42" t="s">
        <v>34</v>
      </c>
      <c r="C18" s="54">
        <v>214.29</v>
      </c>
      <c r="D18" s="41"/>
    </row>
    <row r="19" spans="1:8" ht="15.75" thickBot="1" x14ac:dyDescent="0.3">
      <c r="B19" s="44" t="s">
        <v>4</v>
      </c>
      <c r="C19" s="54"/>
      <c r="D19" s="41">
        <v>2000</v>
      </c>
      <c r="G19" s="13"/>
      <c r="H19" s="21"/>
    </row>
    <row r="20" spans="1:8" ht="16.5" thickTop="1" thickBot="1" x14ac:dyDescent="0.3">
      <c r="B20" s="40" t="s">
        <v>53</v>
      </c>
      <c r="C20" s="15">
        <f>SUM(C17:C18)</f>
        <v>2000</v>
      </c>
      <c r="D20" s="25">
        <v>2000</v>
      </c>
      <c r="G20" s="9"/>
      <c r="H20" s="10"/>
    </row>
    <row r="21" spans="1:8" ht="15.75" thickTop="1" x14ac:dyDescent="0.25">
      <c r="A21" s="24" t="s">
        <v>48</v>
      </c>
      <c r="B21" s="43">
        <v>46082</v>
      </c>
      <c r="C21" s="54"/>
      <c r="D21" s="41"/>
      <c r="G21" s="13"/>
      <c r="H21" s="21"/>
    </row>
    <row r="22" spans="1:8" x14ac:dyDescent="0.25">
      <c r="B22" s="42" t="s">
        <v>54</v>
      </c>
      <c r="C22" s="54">
        <v>178.57</v>
      </c>
      <c r="D22" s="41"/>
      <c r="H22" s="10"/>
    </row>
    <row r="23" spans="1:8" x14ac:dyDescent="0.25">
      <c r="B23" s="42" t="s">
        <v>34</v>
      </c>
      <c r="C23" s="54">
        <v>21.43</v>
      </c>
      <c r="D23" s="41"/>
      <c r="G23" s="24"/>
      <c r="H23" s="10"/>
    </row>
    <row r="24" spans="1:8" ht="15.75" thickBot="1" x14ac:dyDescent="0.3">
      <c r="B24" s="44" t="s">
        <v>2</v>
      </c>
      <c r="C24" s="54"/>
      <c r="D24" s="41">
        <v>200</v>
      </c>
      <c r="G24" s="24"/>
      <c r="H24" s="10"/>
    </row>
    <row r="25" spans="1:8" ht="16.5" thickTop="1" thickBot="1" x14ac:dyDescent="0.3">
      <c r="B25" s="40" t="s">
        <v>55</v>
      </c>
      <c r="C25" s="15">
        <f>C22+C23</f>
        <v>200</v>
      </c>
      <c r="D25" s="25">
        <f>D24</f>
        <v>200</v>
      </c>
      <c r="G25" s="9"/>
      <c r="H25" s="10"/>
    </row>
    <row r="26" spans="1:8" ht="15.75" thickTop="1" x14ac:dyDescent="0.25">
      <c r="A26" s="24" t="s">
        <v>50</v>
      </c>
      <c r="B26" s="43">
        <v>46095</v>
      </c>
      <c r="C26" s="54"/>
      <c r="D26" s="41"/>
      <c r="G26" s="13"/>
      <c r="H26" s="10"/>
    </row>
    <row r="27" spans="1:8" x14ac:dyDescent="0.25">
      <c r="A27" s="24"/>
      <c r="B27" s="40" t="s">
        <v>56</v>
      </c>
      <c r="C27" s="54">
        <v>255</v>
      </c>
      <c r="D27" s="41"/>
      <c r="G27" s="13"/>
      <c r="H27" s="10"/>
    </row>
    <row r="28" spans="1:8" ht="15.75" thickBot="1" x14ac:dyDescent="0.3">
      <c r="A28" s="24"/>
      <c r="B28" s="45" t="s">
        <v>57</v>
      </c>
      <c r="C28" s="54"/>
      <c r="D28" s="41">
        <v>255</v>
      </c>
      <c r="G28" s="13"/>
      <c r="H28" s="10"/>
    </row>
    <row r="29" spans="1:8" ht="16.5" thickTop="1" thickBot="1" x14ac:dyDescent="0.3">
      <c r="A29" s="24"/>
      <c r="B29" s="40" t="s">
        <v>58</v>
      </c>
      <c r="C29" s="15">
        <v>255</v>
      </c>
      <c r="D29" s="25">
        <v>255</v>
      </c>
      <c r="G29" s="13"/>
      <c r="H29" s="10"/>
    </row>
    <row r="30" spans="1:8" ht="15.75" thickTop="1" x14ac:dyDescent="0.25">
      <c r="A30" s="24" t="s">
        <v>52</v>
      </c>
      <c r="B30" s="43">
        <v>46096</v>
      </c>
      <c r="C30" s="54"/>
      <c r="D30" s="41"/>
      <c r="G30" s="13"/>
      <c r="H30" s="10"/>
    </row>
    <row r="31" spans="1:8" x14ac:dyDescent="0.25">
      <c r="A31" s="24"/>
      <c r="B31" s="46" t="s">
        <v>2</v>
      </c>
      <c r="C31" s="54">
        <v>15000</v>
      </c>
      <c r="D31" s="41"/>
      <c r="G31" s="13"/>
      <c r="H31" s="10"/>
    </row>
    <row r="32" spans="1:8" ht="15.75" thickBot="1" x14ac:dyDescent="0.3">
      <c r="A32" s="24"/>
      <c r="B32" s="47" t="s">
        <v>72</v>
      </c>
      <c r="C32" s="54"/>
      <c r="D32" s="41">
        <v>15000</v>
      </c>
      <c r="G32" s="13"/>
      <c r="H32" s="10"/>
    </row>
    <row r="33" spans="1:8" ht="30.75" thickBot="1" x14ac:dyDescent="0.3">
      <c r="A33" s="24"/>
      <c r="B33" s="48" t="s">
        <v>73</v>
      </c>
      <c r="C33" s="36">
        <v>15000</v>
      </c>
      <c r="D33" s="37">
        <v>15000</v>
      </c>
      <c r="G33" s="13"/>
      <c r="H33" s="10"/>
    </row>
    <row r="34" spans="1:8" ht="15.75" thickTop="1" x14ac:dyDescent="0.25">
      <c r="A34" s="24" t="s">
        <v>61</v>
      </c>
      <c r="B34" s="43">
        <v>46096</v>
      </c>
      <c r="C34" s="54"/>
      <c r="D34" s="41"/>
      <c r="G34" s="13"/>
      <c r="H34" s="10"/>
    </row>
    <row r="35" spans="1:8" x14ac:dyDescent="0.25">
      <c r="B35" s="40" t="s">
        <v>59</v>
      </c>
      <c r="C35" s="54">
        <v>3750</v>
      </c>
      <c r="D35" s="41"/>
      <c r="H35" s="10"/>
    </row>
    <row r="36" spans="1:8" ht="15.75" thickBot="1" x14ac:dyDescent="0.3">
      <c r="B36" s="45" t="s">
        <v>51</v>
      </c>
      <c r="C36" s="54"/>
      <c r="D36" s="41">
        <v>3750</v>
      </c>
      <c r="G36" s="24"/>
      <c r="H36" s="10"/>
    </row>
    <row r="37" spans="1:8" ht="16.5" thickTop="1" thickBot="1" x14ac:dyDescent="0.3">
      <c r="B37" s="40" t="s">
        <v>60</v>
      </c>
      <c r="C37" s="15">
        <v>3750</v>
      </c>
      <c r="D37" s="25">
        <v>3750</v>
      </c>
      <c r="H37" s="10"/>
    </row>
    <row r="38" spans="1:8" ht="15.75" thickTop="1" x14ac:dyDescent="0.25">
      <c r="A38" s="24" t="s">
        <v>74</v>
      </c>
      <c r="B38" s="43">
        <v>46112</v>
      </c>
      <c r="C38" s="54"/>
      <c r="D38" s="41"/>
      <c r="H38" s="10"/>
    </row>
    <row r="39" spans="1:8" x14ac:dyDescent="0.25">
      <c r="A39" s="24"/>
      <c r="B39" s="40" t="s">
        <v>59</v>
      </c>
      <c r="C39" s="54">
        <v>3750</v>
      </c>
      <c r="D39" s="41"/>
    </row>
    <row r="40" spans="1:8" ht="15.75" thickBot="1" x14ac:dyDescent="0.3">
      <c r="B40" s="45" t="s">
        <v>51</v>
      </c>
      <c r="C40" s="54"/>
      <c r="D40" s="41">
        <v>3750</v>
      </c>
    </row>
    <row r="41" spans="1:8" ht="16.5" thickTop="1" thickBot="1" x14ac:dyDescent="0.3">
      <c r="B41" s="40" t="s">
        <v>60</v>
      </c>
      <c r="C41" s="15">
        <v>3750</v>
      </c>
      <c r="D41" s="25">
        <v>3750</v>
      </c>
    </row>
    <row r="42" spans="1:8" ht="15.75" thickTop="1" x14ac:dyDescent="0.25">
      <c r="A42" s="24" t="s">
        <v>75</v>
      </c>
      <c r="B42" s="43">
        <v>46112</v>
      </c>
      <c r="C42" s="54"/>
      <c r="D42" s="41"/>
    </row>
    <row r="43" spans="1:8" x14ac:dyDescent="0.25">
      <c r="A43" s="24"/>
      <c r="B43" s="46" t="s">
        <v>2</v>
      </c>
      <c r="C43" s="54">
        <v>15000</v>
      </c>
      <c r="D43" s="41"/>
    </row>
    <row r="44" spans="1:8" ht="15.75" thickBot="1" x14ac:dyDescent="0.3">
      <c r="A44" s="24"/>
      <c r="B44" s="47" t="s">
        <v>72</v>
      </c>
      <c r="C44" s="54"/>
      <c r="D44" s="41">
        <v>15000</v>
      </c>
    </row>
    <row r="45" spans="1:8" ht="30" x14ac:dyDescent="0.25">
      <c r="A45" s="24"/>
      <c r="B45" s="49" t="s">
        <v>73</v>
      </c>
      <c r="C45" s="50">
        <v>15000</v>
      </c>
      <c r="D45" s="51">
        <v>15000</v>
      </c>
    </row>
  </sheetData>
  <mergeCells count="3">
    <mergeCell ref="A2:E2"/>
    <mergeCell ref="A3:E3"/>
    <mergeCell ref="A4:E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1132-B2B3-49E8-8DA8-A7228B96C739}">
  <dimension ref="A1:H75"/>
  <sheetViews>
    <sheetView zoomScale="110" zoomScaleNormal="110" workbookViewId="0">
      <selection activeCell="C23" sqref="C23:D23"/>
    </sheetView>
  </sheetViews>
  <sheetFormatPr baseColWidth="10" defaultRowHeight="15" x14ac:dyDescent="0.25"/>
  <cols>
    <col min="1" max="1" width="5.85546875" customWidth="1"/>
    <col min="2" max="2" width="3.28515625" customWidth="1"/>
    <col min="3" max="3" width="27.28515625" customWidth="1"/>
    <col min="4" max="4" width="7.42578125" bestFit="1" customWidth="1"/>
  </cols>
  <sheetData>
    <row r="1" spans="1:8" ht="17.25" x14ac:dyDescent="0.25">
      <c r="A1" s="96" t="s">
        <v>83</v>
      </c>
      <c r="B1" s="96"/>
      <c r="C1" s="96"/>
      <c r="D1" s="96"/>
      <c r="E1" s="96"/>
      <c r="F1" s="96"/>
      <c r="G1" s="96"/>
      <c r="H1" s="96"/>
    </row>
    <row r="2" spans="1:8" x14ac:dyDescent="0.25">
      <c r="A2" s="97" t="s">
        <v>78</v>
      </c>
      <c r="B2" s="97"/>
      <c r="C2" s="97"/>
      <c r="D2" s="97"/>
      <c r="E2" s="97"/>
      <c r="F2" s="97"/>
      <c r="G2" s="97"/>
      <c r="H2" s="97"/>
    </row>
    <row r="3" spans="1:8" x14ac:dyDescent="0.25">
      <c r="A3" s="98" t="s">
        <v>79</v>
      </c>
      <c r="B3" s="98"/>
      <c r="C3" s="98"/>
      <c r="D3" s="98"/>
      <c r="E3" s="98"/>
      <c r="F3" s="98"/>
      <c r="G3" s="98"/>
      <c r="H3" s="98"/>
    </row>
    <row r="5" spans="1:8" x14ac:dyDescent="0.25">
      <c r="A5" s="75" t="s">
        <v>84</v>
      </c>
      <c r="B5" s="75" t="s">
        <v>85</v>
      </c>
      <c r="C5" s="76" t="s">
        <v>86</v>
      </c>
      <c r="D5" s="75" t="s">
        <v>114</v>
      </c>
      <c r="E5" s="75" t="s">
        <v>87</v>
      </c>
      <c r="F5" s="75" t="s">
        <v>88</v>
      </c>
      <c r="G5" s="77"/>
      <c r="H5" s="77"/>
    </row>
    <row r="6" spans="1:8" x14ac:dyDescent="0.25">
      <c r="A6" s="78">
        <v>1</v>
      </c>
      <c r="B6" s="74"/>
      <c r="C6" s="99" t="s">
        <v>57</v>
      </c>
      <c r="D6" s="99"/>
      <c r="E6" s="79"/>
      <c r="F6" s="79"/>
      <c r="G6" s="79"/>
      <c r="H6" s="79"/>
    </row>
    <row r="7" spans="1:8" x14ac:dyDescent="0.25">
      <c r="A7" s="80">
        <v>1</v>
      </c>
      <c r="B7" s="80">
        <v>1</v>
      </c>
      <c r="C7" s="79" t="s">
        <v>89</v>
      </c>
      <c r="D7" s="80">
        <v>1</v>
      </c>
      <c r="E7" s="81">
        <v>3000</v>
      </c>
      <c r="F7" s="81"/>
      <c r="G7" s="80" t="s">
        <v>90</v>
      </c>
      <c r="H7" s="81">
        <v>3000</v>
      </c>
    </row>
    <row r="8" spans="1:8" x14ac:dyDescent="0.25">
      <c r="A8" s="80">
        <v>3</v>
      </c>
      <c r="B8" s="80">
        <v>1</v>
      </c>
      <c r="C8" s="79" t="s">
        <v>89</v>
      </c>
      <c r="D8" s="80">
        <v>3</v>
      </c>
      <c r="E8" s="81"/>
      <c r="F8" s="81">
        <v>200</v>
      </c>
      <c r="G8" s="80" t="s">
        <v>90</v>
      </c>
      <c r="H8" s="81">
        <v>2800</v>
      </c>
    </row>
    <row r="9" spans="1:8" x14ac:dyDescent="0.25">
      <c r="A9" s="80">
        <v>7</v>
      </c>
      <c r="B9" s="80">
        <v>14</v>
      </c>
      <c r="C9" s="79" t="s">
        <v>89</v>
      </c>
      <c r="D9" s="80">
        <v>4</v>
      </c>
      <c r="E9" s="81"/>
      <c r="F9" s="81">
        <v>255</v>
      </c>
      <c r="G9" s="80" t="s">
        <v>90</v>
      </c>
      <c r="H9" s="81">
        <v>2545</v>
      </c>
    </row>
    <row r="10" spans="1:8" x14ac:dyDescent="0.25">
      <c r="A10" s="80">
        <v>9</v>
      </c>
      <c r="B10" s="80">
        <v>15</v>
      </c>
      <c r="C10" s="79" t="s">
        <v>89</v>
      </c>
      <c r="D10" s="80">
        <v>5</v>
      </c>
      <c r="E10" s="81">
        <v>15000</v>
      </c>
      <c r="F10" s="81"/>
      <c r="G10" s="80" t="s">
        <v>90</v>
      </c>
      <c r="H10" s="81">
        <v>17545</v>
      </c>
    </row>
    <row r="11" spans="1:8" x14ac:dyDescent="0.25">
      <c r="A11" s="80">
        <v>17</v>
      </c>
      <c r="B11" s="80">
        <v>31</v>
      </c>
      <c r="C11" s="79" t="s">
        <v>89</v>
      </c>
      <c r="D11" s="80">
        <v>8</v>
      </c>
      <c r="E11" s="81">
        <v>15000</v>
      </c>
      <c r="F11" s="81"/>
      <c r="G11" s="80" t="s">
        <v>90</v>
      </c>
      <c r="H11" s="81">
        <v>32545</v>
      </c>
    </row>
    <row r="12" spans="1:8" ht="15.75" thickBot="1" x14ac:dyDescent="0.3">
      <c r="A12" s="82"/>
      <c r="B12" s="82"/>
      <c r="C12" s="83" t="s">
        <v>82</v>
      </c>
      <c r="D12" s="82"/>
      <c r="E12" s="84">
        <v>33000</v>
      </c>
      <c r="F12" s="84">
        <v>455</v>
      </c>
      <c r="G12" s="82"/>
      <c r="H12" s="82"/>
    </row>
    <row r="13" spans="1:8" ht="15.75" thickTop="1" x14ac:dyDescent="0.25"/>
    <row r="14" spans="1:8" x14ac:dyDescent="0.25">
      <c r="A14" s="75" t="s">
        <v>84</v>
      </c>
      <c r="B14" s="75" t="s">
        <v>85</v>
      </c>
      <c r="C14" s="76" t="s">
        <v>86</v>
      </c>
      <c r="D14" s="75" t="s">
        <v>114</v>
      </c>
      <c r="E14" s="75" t="s">
        <v>87</v>
      </c>
      <c r="F14" s="75" t="s">
        <v>88</v>
      </c>
      <c r="G14" s="77"/>
      <c r="H14" s="77"/>
    </row>
    <row r="15" spans="1:8" x14ac:dyDescent="0.25">
      <c r="A15" s="78">
        <v>2</v>
      </c>
      <c r="B15" s="74"/>
      <c r="C15" s="99" t="s">
        <v>77</v>
      </c>
      <c r="D15" s="99"/>
      <c r="E15" s="79"/>
      <c r="F15" s="79"/>
      <c r="G15" s="79"/>
      <c r="H15" s="79"/>
    </row>
    <row r="16" spans="1:8" x14ac:dyDescent="0.25">
      <c r="A16" s="80">
        <v>1</v>
      </c>
      <c r="B16" s="80">
        <v>1</v>
      </c>
      <c r="C16" s="79" t="s">
        <v>89</v>
      </c>
      <c r="D16" s="80">
        <v>1</v>
      </c>
      <c r="E16" s="81">
        <v>15000</v>
      </c>
      <c r="F16" s="81"/>
      <c r="G16" s="80" t="s">
        <v>90</v>
      </c>
      <c r="H16" s="81">
        <v>15000</v>
      </c>
    </row>
    <row r="17" spans="1:8" x14ac:dyDescent="0.25">
      <c r="A17" s="80">
        <v>3</v>
      </c>
      <c r="B17" s="80">
        <v>1</v>
      </c>
      <c r="C17" s="79" t="s">
        <v>91</v>
      </c>
      <c r="D17" s="80">
        <v>2</v>
      </c>
      <c r="E17" s="81"/>
      <c r="F17" s="81">
        <v>2000</v>
      </c>
      <c r="G17" s="80" t="s">
        <v>90</v>
      </c>
      <c r="H17" s="81">
        <v>13000</v>
      </c>
    </row>
    <row r="18" spans="1:8" x14ac:dyDescent="0.25">
      <c r="A18" s="80">
        <v>9</v>
      </c>
      <c r="B18" s="80">
        <v>15</v>
      </c>
      <c r="C18" s="79" t="s">
        <v>92</v>
      </c>
      <c r="D18" s="80">
        <v>6</v>
      </c>
      <c r="E18" s="81"/>
      <c r="F18" s="81">
        <v>3750</v>
      </c>
      <c r="G18" s="80" t="s">
        <v>90</v>
      </c>
      <c r="H18" s="81">
        <v>9250</v>
      </c>
    </row>
    <row r="19" spans="1:8" x14ac:dyDescent="0.25">
      <c r="A19" s="80">
        <v>17</v>
      </c>
      <c r="B19" s="80">
        <v>31</v>
      </c>
      <c r="C19" s="79" t="s">
        <v>93</v>
      </c>
      <c r="D19" s="80">
        <v>7</v>
      </c>
      <c r="E19" s="81"/>
      <c r="F19" s="81">
        <v>3750</v>
      </c>
      <c r="G19" s="80" t="s">
        <v>90</v>
      </c>
      <c r="H19" s="81">
        <v>5500</v>
      </c>
    </row>
    <row r="20" spans="1:8" ht="15.75" thickBot="1" x14ac:dyDescent="0.3">
      <c r="A20" s="82"/>
      <c r="B20" s="82"/>
      <c r="C20" s="83" t="s">
        <v>82</v>
      </c>
      <c r="D20" s="82"/>
      <c r="E20" s="84">
        <v>15000</v>
      </c>
      <c r="F20" s="84">
        <v>9500</v>
      </c>
      <c r="G20" s="82"/>
      <c r="H20" s="82"/>
    </row>
    <row r="21" spans="1:8" ht="15.75" thickTop="1" x14ac:dyDescent="0.25"/>
    <row r="22" spans="1:8" x14ac:dyDescent="0.25">
      <c r="A22" s="75" t="s">
        <v>84</v>
      </c>
      <c r="B22" s="75" t="s">
        <v>85</v>
      </c>
      <c r="C22" s="76" t="s">
        <v>86</v>
      </c>
      <c r="D22" s="75" t="s">
        <v>114</v>
      </c>
      <c r="E22" s="75" t="s">
        <v>87</v>
      </c>
      <c r="F22" s="75" t="s">
        <v>88</v>
      </c>
      <c r="G22" s="77"/>
      <c r="H22" s="77"/>
    </row>
    <row r="23" spans="1:8" x14ac:dyDescent="0.25">
      <c r="A23" s="78">
        <v>3</v>
      </c>
      <c r="B23" s="74"/>
      <c r="C23" s="99" t="s">
        <v>94</v>
      </c>
      <c r="D23" s="99"/>
      <c r="E23" s="79"/>
      <c r="F23" s="79"/>
      <c r="G23" s="79"/>
      <c r="H23" s="79"/>
    </row>
    <row r="24" spans="1:8" x14ac:dyDescent="0.25">
      <c r="A24" s="80">
        <v>1</v>
      </c>
      <c r="B24" s="80">
        <v>1</v>
      </c>
      <c r="C24" s="79" t="s">
        <v>89</v>
      </c>
      <c r="D24" s="80">
        <v>1</v>
      </c>
      <c r="E24" s="81">
        <v>26833.58</v>
      </c>
      <c r="F24" s="81"/>
      <c r="G24" s="80" t="s">
        <v>90</v>
      </c>
      <c r="H24" s="81">
        <v>26833.58</v>
      </c>
    </row>
    <row r="25" spans="1:8" x14ac:dyDescent="0.25">
      <c r="A25" s="80">
        <v>3</v>
      </c>
      <c r="B25" s="80">
        <v>1</v>
      </c>
      <c r="C25" s="79" t="s">
        <v>89</v>
      </c>
      <c r="D25" s="80">
        <v>2</v>
      </c>
      <c r="E25" s="81">
        <v>214.29</v>
      </c>
      <c r="F25" s="81"/>
      <c r="G25" s="80" t="s">
        <v>90</v>
      </c>
      <c r="H25" s="81">
        <v>27047.87</v>
      </c>
    </row>
    <row r="26" spans="1:8" x14ac:dyDescent="0.25">
      <c r="A26" s="80">
        <v>5</v>
      </c>
      <c r="B26" s="80">
        <v>1</v>
      </c>
      <c r="C26" s="79" t="s">
        <v>89</v>
      </c>
      <c r="D26" s="80">
        <v>3</v>
      </c>
      <c r="E26" s="81">
        <v>21.43</v>
      </c>
      <c r="F26" s="81"/>
      <c r="G26" s="80" t="s">
        <v>90</v>
      </c>
      <c r="H26" s="81">
        <v>27069.3</v>
      </c>
    </row>
    <row r="27" spans="1:8" ht="15.75" thickBot="1" x14ac:dyDescent="0.3">
      <c r="A27" s="82"/>
      <c r="B27" s="82"/>
      <c r="C27" s="83" t="s">
        <v>82</v>
      </c>
      <c r="D27" s="82"/>
      <c r="E27" s="84">
        <v>27069.3</v>
      </c>
      <c r="F27" s="84">
        <v>0</v>
      </c>
      <c r="G27" s="82"/>
      <c r="H27" s="82"/>
    </row>
    <row r="28" spans="1:8" ht="15.75" thickTop="1" x14ac:dyDescent="0.25"/>
    <row r="29" spans="1:8" x14ac:dyDescent="0.25">
      <c r="A29" s="75" t="s">
        <v>84</v>
      </c>
      <c r="B29" s="75" t="s">
        <v>85</v>
      </c>
      <c r="C29" s="76" t="s">
        <v>86</v>
      </c>
      <c r="D29" s="75" t="s">
        <v>114</v>
      </c>
      <c r="E29" s="75" t="s">
        <v>87</v>
      </c>
      <c r="F29" s="75" t="s">
        <v>88</v>
      </c>
      <c r="G29" s="77"/>
      <c r="H29" s="77"/>
    </row>
    <row r="30" spans="1:8" x14ac:dyDescent="0.25">
      <c r="A30" s="78">
        <v>4</v>
      </c>
      <c r="B30" s="74"/>
      <c r="C30" s="99" t="s">
        <v>95</v>
      </c>
      <c r="D30" s="99"/>
      <c r="E30" s="79"/>
      <c r="F30" s="79"/>
      <c r="G30" s="79"/>
      <c r="H30" s="79"/>
    </row>
    <row r="31" spans="1:8" x14ac:dyDescent="0.25">
      <c r="A31" s="80">
        <v>1</v>
      </c>
      <c r="B31" s="80">
        <v>1</v>
      </c>
      <c r="C31" s="79" t="s">
        <v>89</v>
      </c>
      <c r="D31" s="80">
        <v>1</v>
      </c>
      <c r="E31" s="81">
        <v>3500</v>
      </c>
      <c r="F31" s="81"/>
      <c r="G31" s="80" t="s">
        <v>90</v>
      </c>
      <c r="H31" s="81">
        <v>3500</v>
      </c>
    </row>
    <row r="32" spans="1:8" x14ac:dyDescent="0.25">
      <c r="A32" s="80">
        <v>3</v>
      </c>
      <c r="B32" s="80">
        <v>1</v>
      </c>
      <c r="C32" s="79" t="s">
        <v>89</v>
      </c>
      <c r="D32" s="80">
        <v>2</v>
      </c>
      <c r="E32" s="81">
        <v>1785.71</v>
      </c>
      <c r="F32" s="81"/>
      <c r="G32" s="80" t="s">
        <v>90</v>
      </c>
      <c r="H32" s="81">
        <v>5285.71</v>
      </c>
    </row>
    <row r="33" spans="1:8" ht="15.75" thickBot="1" x14ac:dyDescent="0.3">
      <c r="A33" s="82"/>
      <c r="B33" s="82"/>
      <c r="C33" s="83" t="s">
        <v>82</v>
      </c>
      <c r="D33" s="82"/>
      <c r="E33" s="84">
        <v>5285.71</v>
      </c>
      <c r="F33" s="84">
        <v>0</v>
      </c>
      <c r="G33" s="82"/>
      <c r="H33" s="82"/>
    </row>
    <row r="34" spans="1:8" ht="15.75" thickTop="1" x14ac:dyDescent="0.25"/>
    <row r="35" spans="1:8" x14ac:dyDescent="0.25">
      <c r="A35" s="75" t="s">
        <v>84</v>
      </c>
      <c r="B35" s="75" t="s">
        <v>85</v>
      </c>
      <c r="C35" s="76" t="s">
        <v>86</v>
      </c>
      <c r="D35" s="75" t="s">
        <v>114</v>
      </c>
      <c r="E35" s="75" t="s">
        <v>87</v>
      </c>
      <c r="F35" s="75" t="s">
        <v>88</v>
      </c>
      <c r="G35" s="77"/>
      <c r="H35" s="77"/>
    </row>
    <row r="36" spans="1:8" x14ac:dyDescent="0.25">
      <c r="A36" s="78">
        <v>5</v>
      </c>
      <c r="B36" s="74"/>
      <c r="C36" s="99" t="s">
        <v>96</v>
      </c>
      <c r="D36" s="99"/>
      <c r="E36" s="79"/>
      <c r="F36" s="79"/>
      <c r="G36" s="79"/>
      <c r="H36" s="79"/>
    </row>
    <row r="37" spans="1:8" x14ac:dyDescent="0.25">
      <c r="A37" s="80">
        <v>1</v>
      </c>
      <c r="B37" s="80">
        <v>1</v>
      </c>
      <c r="C37" s="79" t="s">
        <v>89</v>
      </c>
      <c r="D37" s="80">
        <v>1</v>
      </c>
      <c r="E37" s="81">
        <v>218750.01</v>
      </c>
      <c r="F37" s="81"/>
      <c r="G37" s="80" t="s">
        <v>90</v>
      </c>
      <c r="H37" s="81">
        <v>218750.01</v>
      </c>
    </row>
    <row r="38" spans="1:8" ht="15.75" thickBot="1" x14ac:dyDescent="0.3">
      <c r="A38" s="82"/>
      <c r="B38" s="82"/>
      <c r="C38" s="83" t="s">
        <v>82</v>
      </c>
      <c r="D38" s="82"/>
      <c r="E38" s="84">
        <v>218750.01</v>
      </c>
      <c r="F38" s="84">
        <v>0</v>
      </c>
      <c r="G38" s="82"/>
      <c r="H38" s="82"/>
    </row>
    <row r="39" spans="1:8" ht="15.75" thickTop="1" x14ac:dyDescent="0.25"/>
    <row r="40" spans="1:8" x14ac:dyDescent="0.25">
      <c r="A40" s="75" t="s">
        <v>84</v>
      </c>
      <c r="B40" s="75" t="s">
        <v>85</v>
      </c>
      <c r="C40" s="76" t="s">
        <v>86</v>
      </c>
      <c r="D40" s="75" t="s">
        <v>114</v>
      </c>
      <c r="E40" s="75" t="s">
        <v>87</v>
      </c>
      <c r="F40" s="75" t="s">
        <v>88</v>
      </c>
      <c r="G40" s="77"/>
      <c r="H40" s="77"/>
    </row>
    <row r="41" spans="1:8" x14ac:dyDescent="0.25">
      <c r="A41" s="78">
        <v>6</v>
      </c>
      <c r="B41" s="74"/>
      <c r="C41" s="99" t="s">
        <v>97</v>
      </c>
      <c r="D41" s="99"/>
      <c r="E41" s="79"/>
      <c r="F41" s="79"/>
      <c r="G41" s="79"/>
      <c r="H41" s="79"/>
    </row>
    <row r="42" spans="1:8" x14ac:dyDescent="0.25">
      <c r="A42" s="80">
        <v>1</v>
      </c>
      <c r="B42" s="80">
        <v>1</v>
      </c>
      <c r="C42" s="79" t="s">
        <v>89</v>
      </c>
      <c r="D42" s="80">
        <v>1</v>
      </c>
      <c r="E42" s="81">
        <v>1362.12</v>
      </c>
      <c r="F42" s="81"/>
      <c r="G42" s="80" t="s">
        <v>90</v>
      </c>
      <c r="H42" s="81">
        <v>1362.12</v>
      </c>
    </row>
    <row r="43" spans="1:8" ht="15.75" thickBot="1" x14ac:dyDescent="0.3">
      <c r="A43" s="82"/>
      <c r="B43" s="82"/>
      <c r="C43" s="83" t="s">
        <v>82</v>
      </c>
      <c r="D43" s="82"/>
      <c r="E43" s="84">
        <v>1362.12</v>
      </c>
      <c r="F43" s="84">
        <v>0</v>
      </c>
      <c r="G43" s="82"/>
      <c r="H43" s="82"/>
    </row>
    <row r="44" spans="1:8" ht="15.75" thickTop="1" x14ac:dyDescent="0.25"/>
    <row r="45" spans="1:8" x14ac:dyDescent="0.25">
      <c r="A45" s="75" t="s">
        <v>84</v>
      </c>
      <c r="B45" s="75" t="s">
        <v>85</v>
      </c>
      <c r="C45" s="76" t="s">
        <v>86</v>
      </c>
      <c r="D45" s="75" t="s">
        <v>114</v>
      </c>
      <c r="E45" s="75" t="s">
        <v>87</v>
      </c>
      <c r="F45" s="75" t="s">
        <v>88</v>
      </c>
      <c r="G45" s="77"/>
      <c r="H45" s="77"/>
    </row>
    <row r="46" spans="1:8" x14ac:dyDescent="0.25">
      <c r="A46" s="78">
        <v>7</v>
      </c>
      <c r="B46" s="74"/>
      <c r="C46" s="99" t="s">
        <v>80</v>
      </c>
      <c r="D46" s="99"/>
      <c r="E46" s="79"/>
      <c r="F46" s="79"/>
      <c r="G46" s="79"/>
      <c r="H46" s="79"/>
    </row>
    <row r="47" spans="1:8" x14ac:dyDescent="0.25">
      <c r="A47" s="80">
        <v>1</v>
      </c>
      <c r="B47" s="80">
        <v>1</v>
      </c>
      <c r="C47" s="79" t="s">
        <v>89</v>
      </c>
      <c r="D47" s="80">
        <v>1</v>
      </c>
      <c r="E47" s="81">
        <v>300</v>
      </c>
      <c r="F47" s="81"/>
      <c r="G47" s="80" t="s">
        <v>90</v>
      </c>
      <c r="H47" s="81">
        <v>300</v>
      </c>
    </row>
    <row r="48" spans="1:8" ht="15.75" thickBot="1" x14ac:dyDescent="0.3">
      <c r="A48" s="82"/>
      <c r="B48" s="82"/>
      <c r="C48" s="83" t="s">
        <v>82</v>
      </c>
      <c r="D48" s="82"/>
      <c r="E48" s="84">
        <v>300</v>
      </c>
      <c r="F48" s="84">
        <v>0</v>
      </c>
      <c r="G48" s="82"/>
      <c r="H48" s="82"/>
    </row>
    <row r="49" spans="1:8" ht="15.75" thickTop="1" x14ac:dyDescent="0.25"/>
    <row r="50" spans="1:8" x14ac:dyDescent="0.25">
      <c r="A50" s="75" t="s">
        <v>84</v>
      </c>
      <c r="B50" s="75" t="s">
        <v>85</v>
      </c>
      <c r="C50" s="76" t="s">
        <v>86</v>
      </c>
      <c r="D50" s="75" t="s">
        <v>114</v>
      </c>
      <c r="E50" s="75" t="s">
        <v>87</v>
      </c>
      <c r="F50" s="75" t="s">
        <v>88</v>
      </c>
      <c r="G50" s="77"/>
      <c r="H50" s="77"/>
    </row>
    <row r="51" spans="1:8" x14ac:dyDescent="0.25">
      <c r="A51" s="78">
        <v>8</v>
      </c>
      <c r="B51" s="74"/>
      <c r="C51" s="99" t="s">
        <v>98</v>
      </c>
      <c r="D51" s="99"/>
      <c r="E51" s="79"/>
      <c r="F51" s="79"/>
      <c r="G51" s="79"/>
      <c r="H51" s="79"/>
    </row>
    <row r="52" spans="1:8" x14ac:dyDescent="0.25">
      <c r="A52" s="80">
        <v>1</v>
      </c>
      <c r="B52" s="80">
        <v>1</v>
      </c>
      <c r="C52" s="79" t="s">
        <v>99</v>
      </c>
      <c r="D52" s="80">
        <v>1</v>
      </c>
      <c r="E52" s="81"/>
      <c r="F52" s="81">
        <v>268745.71000000002</v>
      </c>
      <c r="G52" s="80" t="s">
        <v>90</v>
      </c>
      <c r="H52" s="81">
        <v>268745.71000000002</v>
      </c>
    </row>
    <row r="53" spans="1:8" ht="15.75" thickBot="1" x14ac:dyDescent="0.3">
      <c r="A53" s="82"/>
      <c r="B53" s="82"/>
      <c r="C53" s="83" t="s">
        <v>82</v>
      </c>
      <c r="D53" s="82"/>
      <c r="E53" s="84">
        <v>0</v>
      </c>
      <c r="F53" s="84">
        <v>268745.71000000002</v>
      </c>
      <c r="G53" s="82"/>
      <c r="H53" s="82"/>
    </row>
    <row r="54" spans="1:8" ht="15.75" thickTop="1" x14ac:dyDescent="0.25"/>
    <row r="55" spans="1:8" x14ac:dyDescent="0.25">
      <c r="A55" s="75" t="s">
        <v>84</v>
      </c>
      <c r="B55" s="75" t="s">
        <v>85</v>
      </c>
      <c r="C55" s="76" t="s">
        <v>86</v>
      </c>
      <c r="D55" s="75" t="s">
        <v>114</v>
      </c>
      <c r="E55" s="75" t="s">
        <v>87</v>
      </c>
      <c r="F55" s="75" t="s">
        <v>88</v>
      </c>
      <c r="G55" s="77"/>
      <c r="H55" s="77"/>
    </row>
    <row r="56" spans="1:8" x14ac:dyDescent="0.25">
      <c r="A56" s="78">
        <v>9</v>
      </c>
      <c r="B56" s="74"/>
      <c r="C56" s="99" t="s">
        <v>100</v>
      </c>
      <c r="D56" s="99"/>
      <c r="E56" s="79"/>
      <c r="F56" s="79"/>
      <c r="G56" s="79"/>
      <c r="H56" s="79"/>
    </row>
    <row r="57" spans="1:8" x14ac:dyDescent="0.25">
      <c r="A57" s="80">
        <v>3</v>
      </c>
      <c r="B57" s="80">
        <v>1</v>
      </c>
      <c r="C57" s="79" t="s">
        <v>101</v>
      </c>
      <c r="D57" s="80">
        <v>3</v>
      </c>
      <c r="E57" s="81">
        <v>178.57</v>
      </c>
      <c r="F57" s="81"/>
      <c r="G57" s="80" t="s">
        <v>90</v>
      </c>
      <c r="H57" s="81">
        <v>178.57</v>
      </c>
    </row>
    <row r="58" spans="1:8" ht="15.75" thickBot="1" x14ac:dyDescent="0.3">
      <c r="A58" s="82"/>
      <c r="B58" s="82"/>
      <c r="C58" s="83" t="s">
        <v>82</v>
      </c>
      <c r="D58" s="82"/>
      <c r="E58" s="84">
        <v>178.57</v>
      </c>
      <c r="F58" s="84">
        <v>0</v>
      </c>
      <c r="G58" s="82"/>
      <c r="H58" s="82"/>
    </row>
    <row r="59" spans="1:8" ht="15.75" thickTop="1" x14ac:dyDescent="0.25"/>
    <row r="60" spans="1:8" x14ac:dyDescent="0.25">
      <c r="A60" s="75" t="s">
        <v>84</v>
      </c>
      <c r="B60" s="75" t="s">
        <v>85</v>
      </c>
      <c r="C60" s="76" t="s">
        <v>86</v>
      </c>
      <c r="D60" s="75" t="s">
        <v>114</v>
      </c>
      <c r="E60" s="75" t="s">
        <v>87</v>
      </c>
      <c r="F60" s="75" t="s">
        <v>88</v>
      </c>
      <c r="G60" s="77"/>
      <c r="H60" s="77"/>
    </row>
    <row r="61" spans="1:8" x14ac:dyDescent="0.25">
      <c r="A61" s="78">
        <v>10</v>
      </c>
      <c r="B61" s="74"/>
      <c r="C61" s="99" t="s">
        <v>102</v>
      </c>
      <c r="D61" s="99"/>
      <c r="E61" s="79"/>
      <c r="F61" s="79"/>
      <c r="G61" s="79"/>
      <c r="H61" s="79"/>
    </row>
    <row r="62" spans="1:8" x14ac:dyDescent="0.25">
      <c r="A62" s="80">
        <v>7</v>
      </c>
      <c r="B62" s="80">
        <v>14</v>
      </c>
      <c r="C62" s="79" t="s">
        <v>101</v>
      </c>
      <c r="D62" s="80">
        <v>4</v>
      </c>
      <c r="E62" s="81">
        <v>255</v>
      </c>
      <c r="F62" s="81"/>
      <c r="G62" s="80" t="s">
        <v>90</v>
      </c>
      <c r="H62" s="81">
        <v>255</v>
      </c>
    </row>
    <row r="63" spans="1:8" ht="15.75" thickBot="1" x14ac:dyDescent="0.3">
      <c r="A63" s="82"/>
      <c r="B63" s="82"/>
      <c r="C63" s="83" t="s">
        <v>82</v>
      </c>
      <c r="D63" s="82"/>
      <c r="E63" s="84">
        <v>255</v>
      </c>
      <c r="F63" s="84">
        <v>0</v>
      </c>
      <c r="G63" s="82"/>
      <c r="H63" s="82"/>
    </row>
    <row r="64" spans="1:8" ht="15.75" thickTop="1" x14ac:dyDescent="0.25"/>
    <row r="65" spans="1:8" x14ac:dyDescent="0.25">
      <c r="A65" s="75" t="s">
        <v>84</v>
      </c>
      <c r="B65" s="75" t="s">
        <v>85</v>
      </c>
      <c r="C65" s="76" t="s">
        <v>86</v>
      </c>
      <c r="D65" s="75" t="s">
        <v>114</v>
      </c>
      <c r="E65" s="75" t="s">
        <v>87</v>
      </c>
      <c r="F65" s="75" t="s">
        <v>88</v>
      </c>
      <c r="G65" s="77"/>
      <c r="H65" s="77"/>
    </row>
    <row r="66" spans="1:8" x14ac:dyDescent="0.25">
      <c r="A66" s="78">
        <v>11</v>
      </c>
      <c r="B66" s="74"/>
      <c r="C66" s="99" t="s">
        <v>81</v>
      </c>
      <c r="D66" s="99"/>
      <c r="E66" s="79"/>
      <c r="F66" s="79"/>
      <c r="G66" s="79"/>
      <c r="H66" s="79"/>
    </row>
    <row r="67" spans="1:8" x14ac:dyDescent="0.25">
      <c r="A67" s="80">
        <v>9</v>
      </c>
      <c r="B67" s="80">
        <v>15</v>
      </c>
      <c r="C67" s="79" t="s">
        <v>103</v>
      </c>
      <c r="D67" s="80">
        <v>6</v>
      </c>
      <c r="E67" s="81">
        <v>3750</v>
      </c>
      <c r="F67" s="81"/>
      <c r="G67" s="80" t="s">
        <v>90</v>
      </c>
      <c r="H67" s="81">
        <v>3750</v>
      </c>
    </row>
    <row r="68" spans="1:8" x14ac:dyDescent="0.25">
      <c r="A68" s="80">
        <v>17</v>
      </c>
      <c r="B68" s="80">
        <v>31</v>
      </c>
      <c r="C68" s="79" t="s">
        <v>103</v>
      </c>
      <c r="D68" s="80">
        <v>7</v>
      </c>
      <c r="E68" s="81">
        <v>3750</v>
      </c>
      <c r="F68" s="81"/>
      <c r="G68" s="80" t="s">
        <v>90</v>
      </c>
      <c r="H68" s="81">
        <v>7500</v>
      </c>
    </row>
    <row r="69" spans="1:8" ht="15.75" thickBot="1" x14ac:dyDescent="0.3">
      <c r="A69" s="82"/>
      <c r="B69" s="82"/>
      <c r="C69" s="83" t="s">
        <v>82</v>
      </c>
      <c r="D69" s="82"/>
      <c r="E69" s="84">
        <v>7500</v>
      </c>
      <c r="F69" s="84">
        <v>0</v>
      </c>
      <c r="G69" s="82"/>
      <c r="H69" s="82"/>
    </row>
    <row r="70" spans="1:8" ht="15.75" thickTop="1" x14ac:dyDescent="0.25"/>
    <row r="71" spans="1:8" x14ac:dyDescent="0.25">
      <c r="A71" s="75" t="s">
        <v>84</v>
      </c>
      <c r="B71" s="75" t="s">
        <v>85</v>
      </c>
      <c r="C71" s="76" t="s">
        <v>86</v>
      </c>
      <c r="D71" s="75" t="s">
        <v>114</v>
      </c>
      <c r="E71" s="75" t="s">
        <v>87</v>
      </c>
      <c r="F71" s="75" t="s">
        <v>88</v>
      </c>
      <c r="G71" s="77"/>
      <c r="H71" s="77"/>
    </row>
    <row r="72" spans="1:8" x14ac:dyDescent="0.25">
      <c r="A72" s="78">
        <v>12</v>
      </c>
      <c r="B72" s="74"/>
      <c r="C72" s="99" t="s">
        <v>104</v>
      </c>
      <c r="D72" s="99"/>
      <c r="E72" s="79"/>
      <c r="F72" s="79"/>
      <c r="G72" s="79"/>
      <c r="H72" s="79"/>
    </row>
    <row r="73" spans="1:8" x14ac:dyDescent="0.25">
      <c r="A73" s="80">
        <v>9</v>
      </c>
      <c r="B73" s="80">
        <v>15</v>
      </c>
      <c r="C73" s="79" t="s">
        <v>105</v>
      </c>
      <c r="D73" s="80">
        <v>5</v>
      </c>
      <c r="E73" s="81"/>
      <c r="F73" s="81">
        <v>15000</v>
      </c>
      <c r="G73" s="80" t="s">
        <v>90</v>
      </c>
      <c r="H73" s="81">
        <v>15000</v>
      </c>
    </row>
    <row r="74" spans="1:8" x14ac:dyDescent="0.25">
      <c r="A74" s="80">
        <v>17</v>
      </c>
      <c r="B74" s="80">
        <v>31</v>
      </c>
      <c r="C74" s="79" t="s">
        <v>105</v>
      </c>
      <c r="D74" s="80">
        <v>8</v>
      </c>
      <c r="E74" s="81"/>
      <c r="F74" s="81">
        <v>15000</v>
      </c>
      <c r="G74" s="80" t="s">
        <v>90</v>
      </c>
      <c r="H74" s="81">
        <v>30000</v>
      </c>
    </row>
    <row r="75" spans="1:8" ht="15.75" thickBot="1" x14ac:dyDescent="0.3">
      <c r="A75" s="82"/>
      <c r="B75" s="82"/>
      <c r="C75" s="83" t="s">
        <v>82</v>
      </c>
      <c r="D75" s="82"/>
      <c r="E75" s="84">
        <v>0</v>
      </c>
      <c r="F75" s="84">
        <v>30000</v>
      </c>
      <c r="G75" s="82"/>
      <c r="H75" s="82"/>
    </row>
  </sheetData>
  <mergeCells count="15">
    <mergeCell ref="C51:D51"/>
    <mergeCell ref="C56:D56"/>
    <mergeCell ref="C61:D61"/>
    <mergeCell ref="C66:D66"/>
    <mergeCell ref="C72:D72"/>
    <mergeCell ref="C23:D23"/>
    <mergeCell ref="C30:D30"/>
    <mergeCell ref="C36:D36"/>
    <mergeCell ref="C41:D41"/>
    <mergeCell ref="C46:D46"/>
    <mergeCell ref="A1:H1"/>
    <mergeCell ref="A2:H2"/>
    <mergeCell ref="A3:H3"/>
    <mergeCell ref="C6:D6"/>
    <mergeCell ref="C15:D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15F5-D32B-43DD-BA89-81C9EAA62817}">
  <dimension ref="A1:H22"/>
  <sheetViews>
    <sheetView workbookViewId="0">
      <selection activeCell="I8" sqref="I8"/>
    </sheetView>
  </sheetViews>
  <sheetFormatPr baseColWidth="10" defaultRowHeight="15" x14ac:dyDescent="0.25"/>
  <cols>
    <col min="2" max="2" width="7" customWidth="1"/>
    <col min="3" max="3" width="33.7109375" style="87" customWidth="1"/>
  </cols>
  <sheetData>
    <row r="1" spans="1:8" x14ac:dyDescent="0.25">
      <c r="B1" s="124" t="s">
        <v>164</v>
      </c>
      <c r="C1" s="125"/>
      <c r="D1" s="125"/>
      <c r="E1" s="125"/>
      <c r="F1" s="125"/>
      <c r="G1" s="125"/>
      <c r="H1" s="125"/>
    </row>
    <row r="2" spans="1:8" ht="15.75" thickBot="1" x14ac:dyDescent="0.3">
      <c r="B2" s="131"/>
      <c r="C2" s="132"/>
      <c r="D2" s="132"/>
      <c r="E2" s="132"/>
      <c r="F2" s="132"/>
      <c r="G2" s="132"/>
      <c r="H2" s="132"/>
    </row>
    <row r="3" spans="1:8" ht="30" x14ac:dyDescent="0.25">
      <c r="A3" s="119" t="s">
        <v>106</v>
      </c>
      <c r="B3" s="126" t="s">
        <v>165</v>
      </c>
      <c r="C3" s="118" t="s">
        <v>107</v>
      </c>
      <c r="D3" s="119" t="s">
        <v>108</v>
      </c>
      <c r="E3" s="119" t="s">
        <v>109</v>
      </c>
      <c r="F3" s="119" t="s">
        <v>110</v>
      </c>
      <c r="G3" s="119" t="s">
        <v>111</v>
      </c>
    </row>
    <row r="4" spans="1:8" x14ac:dyDescent="0.25">
      <c r="A4" s="122">
        <v>1</v>
      </c>
      <c r="B4">
        <v>1</v>
      </c>
      <c r="C4" s="120" t="s">
        <v>57</v>
      </c>
      <c r="D4" s="121">
        <v>33000</v>
      </c>
      <c r="E4" s="122">
        <v>455</v>
      </c>
      <c r="F4" s="121">
        <f>D4-E4</f>
        <v>32545</v>
      </c>
      <c r="G4" s="122"/>
    </row>
    <row r="5" spans="1:8" x14ac:dyDescent="0.25">
      <c r="A5" s="122">
        <v>2</v>
      </c>
      <c r="B5">
        <v>2</v>
      </c>
      <c r="C5" s="120" t="s">
        <v>112</v>
      </c>
      <c r="D5" s="121">
        <v>15000</v>
      </c>
      <c r="E5" s="122">
        <v>9500</v>
      </c>
      <c r="F5" s="121">
        <f t="shared" ref="F5:F14" si="0">D5-E5</f>
        <v>5500</v>
      </c>
      <c r="G5" s="122"/>
    </row>
    <row r="6" spans="1:8" x14ac:dyDescent="0.25">
      <c r="A6" s="122">
        <v>3</v>
      </c>
      <c r="B6">
        <v>3</v>
      </c>
      <c r="C6" s="120" t="s">
        <v>94</v>
      </c>
      <c r="D6" s="121">
        <v>27069.3</v>
      </c>
      <c r="E6" s="122"/>
      <c r="F6" s="121">
        <f t="shared" si="0"/>
        <v>27069.3</v>
      </c>
      <c r="G6" s="122"/>
    </row>
    <row r="7" spans="1:8" x14ac:dyDescent="0.25">
      <c r="A7" s="122">
        <v>4</v>
      </c>
      <c r="B7">
        <v>4</v>
      </c>
      <c r="C7" s="120" t="s">
        <v>95</v>
      </c>
      <c r="D7" s="121">
        <v>5285.71</v>
      </c>
      <c r="E7" s="122"/>
      <c r="F7" s="121">
        <f t="shared" si="0"/>
        <v>5285.71</v>
      </c>
      <c r="G7" s="122"/>
    </row>
    <row r="8" spans="1:8" x14ac:dyDescent="0.25">
      <c r="A8" s="122">
        <v>5</v>
      </c>
      <c r="B8">
        <v>5</v>
      </c>
      <c r="C8" s="120" t="s">
        <v>14</v>
      </c>
      <c r="D8" s="121">
        <v>218750.01</v>
      </c>
      <c r="E8" s="122"/>
      <c r="F8" s="121">
        <f t="shared" si="0"/>
        <v>218750.01</v>
      </c>
      <c r="G8" s="122"/>
      <c r="H8" s="9"/>
    </row>
    <row r="9" spans="1:8" x14ac:dyDescent="0.25">
      <c r="A9" s="122">
        <v>6</v>
      </c>
      <c r="B9">
        <v>6</v>
      </c>
      <c r="C9" s="120" t="s">
        <v>62</v>
      </c>
      <c r="D9" s="122">
        <v>1362.12</v>
      </c>
      <c r="E9" s="122"/>
      <c r="F9" s="121">
        <f t="shared" si="0"/>
        <v>1362.12</v>
      </c>
      <c r="G9" s="123"/>
    </row>
    <row r="10" spans="1:8" x14ac:dyDescent="0.25">
      <c r="A10" s="122">
        <v>7</v>
      </c>
      <c r="B10">
        <v>7</v>
      </c>
      <c r="C10" s="120" t="s">
        <v>49</v>
      </c>
      <c r="D10" s="122">
        <v>300</v>
      </c>
      <c r="E10" s="122"/>
      <c r="F10" s="121">
        <f t="shared" si="0"/>
        <v>300</v>
      </c>
      <c r="G10" s="122"/>
    </row>
    <row r="11" spans="1:8" x14ac:dyDescent="0.25">
      <c r="A11" s="122">
        <v>8</v>
      </c>
      <c r="B11">
        <v>8</v>
      </c>
      <c r="C11" s="120" t="s">
        <v>127</v>
      </c>
      <c r="D11" s="122"/>
      <c r="E11" s="122">
        <v>268745.71000000002</v>
      </c>
      <c r="F11" s="121"/>
      <c r="G11" s="122">
        <v>268745.71000000002</v>
      </c>
    </row>
    <row r="12" spans="1:8" x14ac:dyDescent="0.25">
      <c r="A12" s="122">
        <v>9</v>
      </c>
      <c r="B12">
        <v>9</v>
      </c>
      <c r="C12" s="120" t="s">
        <v>128</v>
      </c>
      <c r="D12" s="121">
        <v>178.57</v>
      </c>
      <c r="E12" s="122"/>
      <c r="F12" s="121">
        <f t="shared" si="0"/>
        <v>178.57</v>
      </c>
      <c r="G12" s="122"/>
    </row>
    <row r="13" spans="1:8" x14ac:dyDescent="0.25">
      <c r="A13" s="122">
        <v>10</v>
      </c>
      <c r="B13">
        <v>10</v>
      </c>
      <c r="C13" s="120" t="s">
        <v>130</v>
      </c>
      <c r="D13" s="121">
        <v>255</v>
      </c>
      <c r="E13" s="122"/>
      <c r="F13" s="121">
        <f>D13-E13</f>
        <v>255</v>
      </c>
      <c r="G13" s="122"/>
    </row>
    <row r="14" spans="1:8" x14ac:dyDescent="0.25">
      <c r="A14" s="122">
        <v>11</v>
      </c>
      <c r="B14">
        <v>11</v>
      </c>
      <c r="C14" s="120" t="s">
        <v>131</v>
      </c>
      <c r="D14" s="121">
        <v>7500</v>
      </c>
      <c r="E14" s="122"/>
      <c r="F14" s="121">
        <f t="shared" si="0"/>
        <v>7500</v>
      </c>
      <c r="G14" s="122"/>
    </row>
    <row r="15" spans="1:8" ht="15.75" thickBot="1" x14ac:dyDescent="0.3">
      <c r="A15" s="122">
        <v>12</v>
      </c>
      <c r="B15">
        <v>12</v>
      </c>
      <c r="C15" s="120" t="s">
        <v>129</v>
      </c>
      <c r="D15" s="122"/>
      <c r="E15" s="121">
        <v>30000</v>
      </c>
      <c r="F15" s="122"/>
      <c r="G15" s="121">
        <v>30000</v>
      </c>
    </row>
    <row r="16" spans="1:8" ht="15.75" thickBot="1" x14ac:dyDescent="0.3">
      <c r="A16" s="127" t="s">
        <v>113</v>
      </c>
      <c r="B16" s="128"/>
      <c r="C16" s="129"/>
      <c r="D16" s="130">
        <f>SUM(D4:D15)</f>
        <v>308700.71000000002</v>
      </c>
      <c r="E16" s="130">
        <f>SUM(E4:E15)</f>
        <v>308700.71000000002</v>
      </c>
      <c r="F16" s="130">
        <f>SUM(F4:F15)</f>
        <v>298745.71000000002</v>
      </c>
      <c r="G16" s="130">
        <f>SUM(G10:G15)</f>
        <v>298745.71000000002</v>
      </c>
    </row>
    <row r="22" spans="4:4" x14ac:dyDescent="0.25">
      <c r="D22" s="88"/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80E7-ABFA-4523-B617-628CA5158C3B}">
  <dimension ref="A3:N34"/>
  <sheetViews>
    <sheetView zoomScale="80" zoomScaleNormal="80" workbookViewId="0">
      <selection activeCell="J22" sqref="J22"/>
    </sheetView>
  </sheetViews>
  <sheetFormatPr baseColWidth="10" defaultRowHeight="15" x14ac:dyDescent="0.25"/>
  <cols>
    <col min="2" max="2" width="32.85546875" bestFit="1" customWidth="1"/>
    <col min="3" max="4" width="11.42578125" customWidth="1"/>
    <col min="5" max="5" width="2.85546875" customWidth="1"/>
    <col min="6" max="6" width="11.42578125" customWidth="1"/>
    <col min="7" max="7" width="2.5703125" customWidth="1"/>
    <col min="8" max="10" width="11.42578125" customWidth="1"/>
  </cols>
  <sheetData>
    <row r="3" spans="1:14" x14ac:dyDescent="0.25">
      <c r="A3" t="s">
        <v>115</v>
      </c>
      <c r="B3" s="89" t="s">
        <v>116</v>
      </c>
      <c r="C3" s="100" t="s">
        <v>117</v>
      </c>
      <c r="D3" s="100"/>
      <c r="E3" s="85"/>
      <c r="F3" s="95" t="s">
        <v>118</v>
      </c>
      <c r="G3" s="95"/>
      <c r="H3" s="95"/>
      <c r="I3" s="101" t="s">
        <v>119</v>
      </c>
      <c r="J3" s="95"/>
      <c r="K3" s="95" t="s">
        <v>120</v>
      </c>
      <c r="L3" s="95"/>
      <c r="M3" s="101" t="s">
        <v>121</v>
      </c>
      <c r="N3" s="95"/>
    </row>
    <row r="4" spans="1:14" x14ac:dyDescent="0.25">
      <c r="B4" s="133" t="s">
        <v>86</v>
      </c>
      <c r="C4" s="134" t="s">
        <v>122</v>
      </c>
      <c r="D4" s="135" t="s">
        <v>123</v>
      </c>
      <c r="E4" s="134"/>
      <c r="F4" s="134" t="s">
        <v>87</v>
      </c>
      <c r="G4" s="134"/>
      <c r="H4" s="134" t="s">
        <v>88</v>
      </c>
      <c r="I4" s="134" t="s">
        <v>87</v>
      </c>
      <c r="J4" s="134" t="s">
        <v>88</v>
      </c>
      <c r="K4" s="134" t="s">
        <v>124</v>
      </c>
      <c r="L4" s="134" t="s">
        <v>125</v>
      </c>
      <c r="M4" s="134" t="s">
        <v>0</v>
      </c>
      <c r="N4" s="134" t="s">
        <v>126</v>
      </c>
    </row>
    <row r="5" spans="1:14" x14ac:dyDescent="0.25">
      <c r="A5" s="134">
        <v>1</v>
      </c>
      <c r="B5" s="136" t="s">
        <v>57</v>
      </c>
      <c r="C5" s="134">
        <v>32545</v>
      </c>
      <c r="D5" s="134"/>
      <c r="E5" s="134"/>
      <c r="F5" s="134"/>
      <c r="G5" s="134"/>
      <c r="H5" s="134"/>
      <c r="I5" s="134">
        <v>32545</v>
      </c>
      <c r="J5" s="134"/>
      <c r="K5" s="134"/>
      <c r="L5" s="134"/>
      <c r="M5" s="134">
        <v>32545</v>
      </c>
      <c r="N5" s="134"/>
    </row>
    <row r="6" spans="1:14" x14ac:dyDescent="0.25">
      <c r="A6" s="137">
        <v>2</v>
      </c>
      <c r="B6" s="138" t="s">
        <v>112</v>
      </c>
      <c r="C6" s="137">
        <v>5500</v>
      </c>
      <c r="D6" s="137"/>
      <c r="E6" s="137"/>
      <c r="F6" s="137"/>
      <c r="G6" s="137"/>
      <c r="H6" s="137"/>
      <c r="I6" s="137">
        <v>5500</v>
      </c>
      <c r="J6" s="137"/>
      <c r="K6" s="137"/>
      <c r="L6" s="137"/>
      <c r="M6" s="137">
        <v>5500</v>
      </c>
      <c r="N6" s="137"/>
    </row>
    <row r="7" spans="1:14" x14ac:dyDescent="0.25">
      <c r="A7" s="137">
        <v>3</v>
      </c>
      <c r="B7" s="138" t="s">
        <v>94</v>
      </c>
      <c r="C7" s="137">
        <v>27069.3</v>
      </c>
      <c r="D7" s="137"/>
      <c r="E7" s="137"/>
      <c r="F7" s="137"/>
      <c r="G7" s="137"/>
      <c r="H7" s="137"/>
      <c r="I7" s="137">
        <v>27069.3</v>
      </c>
      <c r="J7" s="137"/>
      <c r="K7" s="137"/>
      <c r="L7" s="137"/>
      <c r="M7" s="137">
        <v>27069.3</v>
      </c>
      <c r="N7" s="137"/>
    </row>
    <row r="8" spans="1:14" x14ac:dyDescent="0.25">
      <c r="A8" s="137">
        <v>4</v>
      </c>
      <c r="B8" s="138" t="s">
        <v>95</v>
      </c>
      <c r="C8" s="137">
        <v>5285.71</v>
      </c>
      <c r="D8" s="137"/>
      <c r="E8" s="137"/>
      <c r="F8" s="137"/>
      <c r="G8" s="137"/>
      <c r="H8" s="137"/>
      <c r="I8" s="137">
        <v>5285.71</v>
      </c>
      <c r="J8" s="137"/>
      <c r="K8" s="137"/>
      <c r="L8" s="137"/>
      <c r="M8" s="137">
        <v>5285.71</v>
      </c>
      <c r="N8" s="137"/>
    </row>
    <row r="9" spans="1:14" x14ac:dyDescent="0.25">
      <c r="A9" s="137">
        <v>5</v>
      </c>
      <c r="B9" s="138" t="s">
        <v>14</v>
      </c>
      <c r="C9" s="137">
        <v>218750.01</v>
      </c>
      <c r="D9" s="137"/>
      <c r="E9" s="137"/>
      <c r="F9" s="137"/>
      <c r="G9" s="137"/>
      <c r="H9" s="137"/>
      <c r="I9" s="137">
        <v>218750.01</v>
      </c>
      <c r="J9" s="137"/>
      <c r="K9" s="137"/>
      <c r="L9" s="137"/>
      <c r="M9" s="137">
        <v>218750.01</v>
      </c>
      <c r="N9" s="137"/>
    </row>
    <row r="10" spans="1:14" x14ac:dyDescent="0.25">
      <c r="A10" s="137">
        <v>6</v>
      </c>
      <c r="B10" s="138" t="s">
        <v>62</v>
      </c>
      <c r="C10" s="137">
        <v>1362.12</v>
      </c>
      <c r="D10" s="137"/>
      <c r="E10" s="137"/>
      <c r="F10" s="137"/>
      <c r="G10" s="137"/>
      <c r="H10" s="137"/>
      <c r="I10" s="137">
        <v>1362.12</v>
      </c>
      <c r="J10" s="137"/>
      <c r="K10" s="137"/>
      <c r="L10" s="137"/>
      <c r="M10" s="137">
        <v>1362.12</v>
      </c>
      <c r="N10" s="137"/>
    </row>
    <row r="11" spans="1:14" x14ac:dyDescent="0.25">
      <c r="A11" s="137">
        <v>7</v>
      </c>
      <c r="B11" s="138" t="s">
        <v>49</v>
      </c>
      <c r="C11" s="137">
        <v>300</v>
      </c>
      <c r="D11" s="137"/>
      <c r="E11" s="137"/>
      <c r="F11" s="137"/>
      <c r="G11" s="137"/>
      <c r="H11" s="137"/>
      <c r="I11" s="137">
        <v>300</v>
      </c>
      <c r="J11" s="137"/>
      <c r="K11" s="137"/>
      <c r="L11" s="137"/>
      <c r="M11" s="137">
        <v>300</v>
      </c>
      <c r="N11" s="137"/>
    </row>
    <row r="12" spans="1:14" x14ac:dyDescent="0.25">
      <c r="A12" s="137">
        <v>8</v>
      </c>
      <c r="B12" s="138" t="s">
        <v>127</v>
      </c>
      <c r="C12" s="137"/>
      <c r="D12" s="137">
        <v>268745.71000000002</v>
      </c>
      <c r="E12" s="137"/>
      <c r="F12" s="137"/>
      <c r="G12" s="137"/>
      <c r="H12" s="137"/>
      <c r="I12" s="137"/>
      <c r="J12" s="137">
        <v>268745.71000000002</v>
      </c>
      <c r="K12" s="137"/>
      <c r="L12" s="137"/>
      <c r="M12" s="137"/>
      <c r="N12" s="137">
        <v>268745.71000000002</v>
      </c>
    </row>
    <row r="13" spans="1:14" x14ac:dyDescent="0.25">
      <c r="A13" s="137">
        <v>9</v>
      </c>
      <c r="B13" s="138" t="s">
        <v>128</v>
      </c>
      <c r="C13" s="137">
        <v>178.57</v>
      </c>
      <c r="D13" s="137"/>
      <c r="E13" s="137"/>
      <c r="F13" s="137"/>
      <c r="G13" s="137"/>
      <c r="H13" s="137"/>
      <c r="I13" s="137">
        <v>178.57</v>
      </c>
      <c r="J13" s="137"/>
      <c r="K13" s="137">
        <v>178.57</v>
      </c>
      <c r="L13" s="137"/>
      <c r="M13" s="137"/>
      <c r="N13" s="137"/>
    </row>
    <row r="14" spans="1:14" x14ac:dyDescent="0.25">
      <c r="A14" s="137">
        <v>10</v>
      </c>
      <c r="B14" s="138" t="s">
        <v>130</v>
      </c>
      <c r="C14" s="137">
        <v>255</v>
      </c>
      <c r="D14" s="137"/>
      <c r="E14" s="137"/>
      <c r="F14" s="137"/>
      <c r="G14" s="137"/>
      <c r="H14" s="137"/>
      <c r="I14" s="137">
        <v>255</v>
      </c>
      <c r="J14" s="137"/>
      <c r="K14" s="137">
        <v>255</v>
      </c>
      <c r="L14" s="137"/>
      <c r="M14" s="137"/>
      <c r="N14" s="137"/>
    </row>
    <row r="15" spans="1:14" x14ac:dyDescent="0.25">
      <c r="A15" s="137">
        <v>11</v>
      </c>
      <c r="B15" s="138" t="s">
        <v>131</v>
      </c>
      <c r="C15" s="137">
        <v>7500</v>
      </c>
      <c r="D15" s="137"/>
      <c r="E15" s="137"/>
      <c r="F15" s="137"/>
      <c r="G15" s="137"/>
      <c r="H15" s="137"/>
      <c r="I15" s="137">
        <v>7500</v>
      </c>
      <c r="J15" s="137"/>
      <c r="K15" s="137">
        <v>7500</v>
      </c>
      <c r="L15" s="137"/>
      <c r="M15" s="137"/>
      <c r="N15" s="137"/>
    </row>
    <row r="16" spans="1:14" x14ac:dyDescent="0.25">
      <c r="A16" s="137">
        <v>12</v>
      </c>
      <c r="B16" s="138" t="s">
        <v>139</v>
      </c>
      <c r="C16" s="137"/>
      <c r="D16" s="137">
        <v>30000</v>
      </c>
      <c r="E16" s="137"/>
      <c r="F16" s="137"/>
      <c r="G16" s="137"/>
      <c r="H16" s="137"/>
      <c r="I16" s="137"/>
      <c r="J16" s="137">
        <v>30000</v>
      </c>
      <c r="K16" s="137"/>
      <c r="L16" s="137">
        <v>30000</v>
      </c>
      <c r="M16" s="137"/>
      <c r="N16" s="137"/>
    </row>
    <row r="17" spans="1:14" x14ac:dyDescent="0.25">
      <c r="A17" s="137">
        <v>13</v>
      </c>
      <c r="B17" s="138" t="s">
        <v>132</v>
      </c>
      <c r="C17" s="137"/>
      <c r="D17" s="137"/>
      <c r="E17" s="137">
        <v>1</v>
      </c>
      <c r="F17" s="137">
        <v>41562.5</v>
      </c>
      <c r="G17" s="137"/>
      <c r="H17" s="137"/>
      <c r="I17" s="137">
        <v>41562.5</v>
      </c>
      <c r="J17" s="137"/>
      <c r="K17" s="137">
        <v>41562.5</v>
      </c>
      <c r="L17" s="137"/>
      <c r="M17" s="137"/>
      <c r="N17" s="137"/>
    </row>
    <row r="18" spans="1:14" x14ac:dyDescent="0.25">
      <c r="A18" s="137">
        <v>14</v>
      </c>
      <c r="B18" s="138" t="s">
        <v>133</v>
      </c>
      <c r="C18" s="137"/>
      <c r="D18" s="137"/>
      <c r="E18" s="137"/>
      <c r="F18" s="137"/>
      <c r="G18" s="137"/>
      <c r="H18" s="137">
        <v>41562.5</v>
      </c>
      <c r="I18" s="137"/>
      <c r="J18" s="137">
        <v>41562.5</v>
      </c>
      <c r="K18" s="137"/>
      <c r="L18" s="137"/>
      <c r="M18" s="137"/>
      <c r="N18" s="137">
        <v>41562.5</v>
      </c>
    </row>
    <row r="19" spans="1:14" s="24" customFormat="1" x14ac:dyDescent="0.25">
      <c r="A19" s="141"/>
      <c r="B19" s="141"/>
      <c r="C19" s="141">
        <f>SUM(C5:C15)</f>
        <v>298745.71000000002</v>
      </c>
      <c r="D19" s="141">
        <f>SUM(D12:D16)</f>
        <v>298745.71000000002</v>
      </c>
      <c r="E19" s="141"/>
      <c r="F19" s="141">
        <f>F17</f>
        <v>41562.5</v>
      </c>
      <c r="G19" s="141"/>
      <c r="H19" s="141">
        <f>H18</f>
        <v>41562.5</v>
      </c>
      <c r="I19" s="141">
        <f>SUM(I5:I17)</f>
        <v>340308.21</v>
      </c>
      <c r="J19" s="141">
        <f>SUM(J11:J18)</f>
        <v>340308.21</v>
      </c>
      <c r="K19" s="141">
        <f>SUM(K13:K18)</f>
        <v>49496.07</v>
      </c>
      <c r="L19" s="141">
        <f>L16</f>
        <v>30000</v>
      </c>
      <c r="M19" s="141">
        <f>SUM(M5:M11)</f>
        <v>290812.14</v>
      </c>
      <c r="N19" s="141">
        <f>SUM(N11:N18)</f>
        <v>310308.21000000002</v>
      </c>
    </row>
    <row r="20" spans="1:14" x14ac:dyDescent="0.25">
      <c r="A20" s="137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</row>
    <row r="21" spans="1:14" x14ac:dyDescent="0.25">
      <c r="A21" s="137"/>
      <c r="B21" t="s">
        <v>166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>
        <f>K19-L19</f>
        <v>19496.07</v>
      </c>
      <c r="M21" s="137">
        <f>N19-M19</f>
        <v>19496.070000000007</v>
      </c>
      <c r="N21" s="137"/>
    </row>
    <row r="22" spans="1:14" x14ac:dyDescent="0.25">
      <c r="A22" s="137"/>
      <c r="B22" t="s">
        <v>167</v>
      </c>
      <c r="C22" s="137"/>
      <c r="D22" s="137"/>
      <c r="E22" s="137"/>
      <c r="F22" s="137"/>
      <c r="G22" s="137"/>
      <c r="H22" s="137"/>
      <c r="I22" s="137"/>
      <c r="J22" s="137"/>
      <c r="K22" s="139">
        <f>K19</f>
        <v>49496.07</v>
      </c>
      <c r="L22" s="139">
        <f>SUM(L19:L21)</f>
        <v>49496.07</v>
      </c>
      <c r="M22" s="139">
        <f>SUM(M19:M21)</f>
        <v>310308.21000000002</v>
      </c>
      <c r="N22" s="139">
        <f>N19</f>
        <v>310308.21000000002</v>
      </c>
    </row>
    <row r="23" spans="1:14" x14ac:dyDescent="0.25">
      <c r="A23" s="137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</row>
    <row r="24" spans="1:14" x14ac:dyDescent="0.25">
      <c r="A24" s="140"/>
      <c r="B24" s="140"/>
      <c r="C24" s="140"/>
      <c r="D24" s="140"/>
      <c r="E24" s="140"/>
      <c r="F24" s="140"/>
      <c r="G24" s="140"/>
      <c r="H24" s="140"/>
      <c r="I24" s="140"/>
      <c r="J24" s="140"/>
      <c r="K24" s="140" t="s">
        <v>140</v>
      </c>
      <c r="L24" s="140"/>
      <c r="M24" s="140"/>
      <c r="N24" s="140"/>
    </row>
    <row r="28" spans="1:14" x14ac:dyDescent="0.25">
      <c r="B28" s="24" t="s">
        <v>134</v>
      </c>
    </row>
    <row r="30" spans="1:14" x14ac:dyDescent="0.25">
      <c r="A30">
        <v>1</v>
      </c>
      <c r="B30" t="s">
        <v>135</v>
      </c>
      <c r="C30" t="s">
        <v>137</v>
      </c>
    </row>
    <row r="31" spans="1:14" x14ac:dyDescent="0.25">
      <c r="C31">
        <v>10937.5</v>
      </c>
    </row>
    <row r="33" spans="2:3" x14ac:dyDescent="0.25">
      <c r="B33" t="s">
        <v>136</v>
      </c>
      <c r="C33" t="s">
        <v>138</v>
      </c>
    </row>
    <row r="34" spans="2:3" x14ac:dyDescent="0.25">
      <c r="C34" s="24">
        <v>41562.5</v>
      </c>
    </row>
  </sheetData>
  <mergeCells count="5">
    <mergeCell ref="C3:D3"/>
    <mergeCell ref="F3:H3"/>
    <mergeCell ref="I3:J3"/>
    <mergeCell ref="K3:L3"/>
    <mergeCell ref="M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BDC2-69E8-4671-84B0-441EF72F0678}">
  <dimension ref="A1:I23"/>
  <sheetViews>
    <sheetView workbookViewId="0">
      <selection activeCell="C3" sqref="C3:H3"/>
    </sheetView>
  </sheetViews>
  <sheetFormatPr baseColWidth="10" defaultRowHeight="15" x14ac:dyDescent="0.25"/>
  <cols>
    <col min="1" max="2" width="4.140625" customWidth="1"/>
    <col min="3" max="3" width="31.140625" customWidth="1"/>
  </cols>
  <sheetData>
    <row r="1" spans="1:9" ht="15.75" thickTop="1" x14ac:dyDescent="0.25">
      <c r="A1" s="102" t="s">
        <v>163</v>
      </c>
      <c r="B1" s="102"/>
      <c r="C1" s="102"/>
      <c r="D1" s="102"/>
      <c r="E1" s="102"/>
      <c r="F1" s="102"/>
      <c r="G1" s="102"/>
      <c r="H1" s="102"/>
      <c r="I1" s="102"/>
    </row>
    <row r="2" spans="1:9" x14ac:dyDescent="0.25">
      <c r="A2" s="95" t="s">
        <v>76</v>
      </c>
      <c r="B2" s="95"/>
      <c r="C2" s="95"/>
      <c r="D2" s="95"/>
      <c r="E2" s="95"/>
      <c r="F2" s="95"/>
      <c r="G2" s="95"/>
      <c r="H2" s="95"/>
    </row>
    <row r="3" spans="1:9" ht="15.75" thickBot="1" x14ac:dyDescent="0.3">
      <c r="B3" s="55"/>
      <c r="C3" s="103" t="s">
        <v>159</v>
      </c>
      <c r="D3" s="94"/>
      <c r="E3" s="94"/>
      <c r="F3" s="94"/>
      <c r="G3" s="94"/>
      <c r="H3" s="94"/>
    </row>
    <row r="4" spans="1:9" ht="15.75" thickBot="1" x14ac:dyDescent="0.3">
      <c r="A4" s="56"/>
      <c r="B4" s="55"/>
      <c r="C4" s="90" t="s">
        <v>0</v>
      </c>
    </row>
    <row r="5" spans="1:9" ht="16.5" thickTop="1" thickBot="1" x14ac:dyDescent="0.3">
      <c r="B5" s="57"/>
      <c r="C5" s="58"/>
      <c r="D5" s="59"/>
      <c r="E5" s="60"/>
      <c r="F5" s="61"/>
      <c r="G5" s="61"/>
      <c r="H5" s="61"/>
    </row>
    <row r="6" spans="1:9" ht="16.5" thickTop="1" thickBot="1" x14ac:dyDescent="0.3">
      <c r="B6" s="62"/>
      <c r="C6" s="63" t="s">
        <v>36</v>
      </c>
      <c r="D6" s="64"/>
      <c r="E6" s="65"/>
      <c r="F6" s="66"/>
      <c r="G6" s="66"/>
      <c r="H6" s="66"/>
    </row>
    <row r="7" spans="1:9" ht="15.75" thickBot="1" x14ac:dyDescent="0.3">
      <c r="B7" s="62"/>
      <c r="C7" s="67" t="s">
        <v>1</v>
      </c>
      <c r="D7" s="64"/>
      <c r="E7" s="65"/>
      <c r="F7" s="66"/>
      <c r="G7" s="66"/>
      <c r="H7" s="66"/>
    </row>
    <row r="8" spans="1:9" x14ac:dyDescent="0.25">
      <c r="B8" s="62"/>
      <c r="C8" s="62" t="s">
        <v>2</v>
      </c>
      <c r="D8" s="64"/>
      <c r="E8" s="65"/>
      <c r="F8">
        <v>32545</v>
      </c>
      <c r="G8" s="66"/>
      <c r="H8" s="66"/>
    </row>
    <row r="9" spans="1:9" ht="15.75" thickBot="1" x14ac:dyDescent="0.3">
      <c r="B9" s="62"/>
      <c r="C9" s="62" t="s">
        <v>51</v>
      </c>
      <c r="D9" s="64"/>
      <c r="E9" s="65"/>
      <c r="F9">
        <v>5500</v>
      </c>
      <c r="G9" s="66">
        <f>SUM(F8:F9)</f>
        <v>38045</v>
      </c>
      <c r="H9" s="66"/>
    </row>
    <row r="10" spans="1:9" ht="15.75" thickBot="1" x14ac:dyDescent="0.3">
      <c r="B10" s="62"/>
      <c r="C10" s="67" t="s">
        <v>35</v>
      </c>
      <c r="D10" s="64"/>
      <c r="E10" s="65"/>
      <c r="F10" s="66"/>
      <c r="G10" s="66"/>
      <c r="H10" s="66"/>
    </row>
    <row r="11" spans="1:9" x14ac:dyDescent="0.25">
      <c r="B11" s="62"/>
      <c r="C11" s="62" t="s">
        <v>143</v>
      </c>
      <c r="D11" s="64"/>
      <c r="E11" s="65"/>
      <c r="F11">
        <v>27069.3</v>
      </c>
      <c r="H11" s="66"/>
    </row>
    <row r="12" spans="1:9" ht="15.75" thickBot="1" x14ac:dyDescent="0.3">
      <c r="B12" s="62"/>
      <c r="C12" s="62" t="s">
        <v>95</v>
      </c>
      <c r="D12" s="64"/>
      <c r="E12" s="65"/>
      <c r="F12">
        <v>5285.71</v>
      </c>
      <c r="G12" s="66">
        <f>SUM(F11:F12)</f>
        <v>32355.01</v>
      </c>
      <c r="H12" s="66"/>
    </row>
    <row r="13" spans="1:9" ht="15.75" thickBot="1" x14ac:dyDescent="0.3">
      <c r="B13" s="62"/>
      <c r="C13" s="70" t="s">
        <v>141</v>
      </c>
      <c r="D13" s="64"/>
      <c r="E13" s="65"/>
      <c r="F13" s="66"/>
      <c r="G13" s="66"/>
      <c r="H13" s="66"/>
    </row>
    <row r="14" spans="1:9" x14ac:dyDescent="0.25">
      <c r="B14" s="62"/>
      <c r="C14" s="86" t="s">
        <v>14</v>
      </c>
      <c r="D14" s="64"/>
      <c r="E14" s="65"/>
      <c r="F14">
        <v>218750.01</v>
      </c>
      <c r="G14" s="66"/>
      <c r="H14" s="66"/>
    </row>
    <row r="15" spans="1:9" x14ac:dyDescent="0.25">
      <c r="B15" s="62"/>
      <c r="C15" s="86" t="s">
        <v>62</v>
      </c>
      <c r="D15" s="64"/>
      <c r="E15" s="65"/>
      <c r="F15">
        <v>1362.12</v>
      </c>
      <c r="H15" s="66"/>
    </row>
    <row r="16" spans="1:9" ht="15.75" thickBot="1" x14ac:dyDescent="0.3">
      <c r="B16" s="62"/>
      <c r="C16" s="86" t="s">
        <v>49</v>
      </c>
      <c r="D16" s="64"/>
      <c r="E16" s="65"/>
      <c r="F16">
        <v>300</v>
      </c>
      <c r="G16" s="69">
        <f>SUM(F14:F16)</f>
        <v>220412.13</v>
      </c>
      <c r="H16" s="66">
        <f>SUM(G9:G16)</f>
        <v>290812.14</v>
      </c>
    </row>
    <row r="17" spans="2:8" ht="16.5" thickTop="1" thickBot="1" x14ac:dyDescent="0.3">
      <c r="B17" s="62"/>
      <c r="C17" s="70" t="s">
        <v>142</v>
      </c>
      <c r="D17" s="64"/>
      <c r="E17" s="65"/>
      <c r="F17" s="71"/>
      <c r="G17" s="66"/>
      <c r="H17" s="72"/>
    </row>
    <row r="18" spans="2:8" ht="15.75" thickBot="1" x14ac:dyDescent="0.3">
      <c r="B18" s="62"/>
      <c r="C18" s="73" t="s">
        <v>146</v>
      </c>
      <c r="D18" s="64"/>
      <c r="E18" s="65"/>
      <c r="F18" s="66"/>
      <c r="G18" s="66"/>
      <c r="H18" s="66"/>
    </row>
    <row r="19" spans="2:8" ht="16.5" thickTop="1" thickBot="1" x14ac:dyDescent="0.3">
      <c r="B19" s="62"/>
      <c r="C19" s="70" t="s">
        <v>147</v>
      </c>
      <c r="D19" s="64"/>
      <c r="E19" s="65"/>
      <c r="F19" s="66"/>
      <c r="G19" s="66"/>
      <c r="H19" s="72"/>
    </row>
    <row r="20" spans="2:8" x14ac:dyDescent="0.25">
      <c r="B20" s="62"/>
      <c r="C20" t="s">
        <v>148</v>
      </c>
      <c r="D20" s="64"/>
      <c r="E20" s="65"/>
      <c r="F20" s="66"/>
      <c r="G20" s="66"/>
      <c r="H20">
        <v>41562.5</v>
      </c>
    </row>
    <row r="21" spans="2:8" ht="15.75" thickBot="1" x14ac:dyDescent="0.3">
      <c r="C21" s="73" t="s">
        <v>144</v>
      </c>
      <c r="H21">
        <v>268745.71000000002</v>
      </c>
    </row>
    <row r="22" spans="2:8" ht="30.75" thickTop="1" x14ac:dyDescent="0.25">
      <c r="C22" s="68" t="s">
        <v>145</v>
      </c>
      <c r="H22">
        <f>SUM(H20:H21)</f>
        <v>310308.21000000002</v>
      </c>
    </row>
    <row r="23" spans="2:8" x14ac:dyDescent="0.25">
      <c r="C23" s="68" t="s">
        <v>149</v>
      </c>
      <c r="G23" s="10">
        <f>H22-H16</f>
        <v>19496.070000000007</v>
      </c>
    </row>
  </sheetData>
  <mergeCells count="3">
    <mergeCell ref="A1:I1"/>
    <mergeCell ref="C3:H3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4535-C22A-4208-8E88-8277E2B56F98}">
  <dimension ref="A1:B22"/>
  <sheetViews>
    <sheetView tabSelected="1" topLeftCell="A4" workbookViewId="0">
      <selection activeCell="J19" sqref="J19"/>
    </sheetView>
  </sheetViews>
  <sheetFormatPr baseColWidth="10" defaultRowHeight="15" x14ac:dyDescent="0.25"/>
  <cols>
    <col min="1" max="1" width="28" customWidth="1"/>
  </cols>
  <sheetData>
    <row r="1" spans="1:2" ht="15.75" thickBot="1" x14ac:dyDescent="0.3">
      <c r="A1" s="91" t="s">
        <v>150</v>
      </c>
    </row>
    <row r="2" spans="1:2" ht="15.75" thickBot="1" x14ac:dyDescent="0.3">
      <c r="A2" s="92" t="s">
        <v>151</v>
      </c>
    </row>
    <row r="3" spans="1:2" ht="15.75" thickBot="1" x14ac:dyDescent="0.3">
      <c r="A3" s="92"/>
    </row>
    <row r="4" spans="1:2" ht="15.75" thickBot="1" x14ac:dyDescent="0.3">
      <c r="A4" s="92" t="s">
        <v>152</v>
      </c>
      <c r="B4">
        <v>30000</v>
      </c>
    </row>
    <row r="5" spans="1:2" ht="15.75" thickBot="1" x14ac:dyDescent="0.3">
      <c r="A5" s="92" t="s">
        <v>153</v>
      </c>
    </row>
    <row r="6" spans="1:2" ht="15.75" thickBot="1" x14ac:dyDescent="0.3">
      <c r="A6" s="92" t="s">
        <v>158</v>
      </c>
      <c r="B6">
        <v>30000</v>
      </c>
    </row>
    <row r="8" spans="1:2" ht="15.75" thickBot="1" x14ac:dyDescent="0.3">
      <c r="A8" s="92"/>
    </row>
    <row r="9" spans="1:2" ht="15.75" thickBot="1" x14ac:dyDescent="0.3">
      <c r="A9" s="93" t="s">
        <v>154</v>
      </c>
    </row>
    <row r="10" spans="1:2" ht="15.75" thickBot="1" x14ac:dyDescent="0.3">
      <c r="A10" s="92"/>
    </row>
    <row r="11" spans="1:2" ht="15.75" thickBot="1" x14ac:dyDescent="0.3">
      <c r="A11" s="92" t="s">
        <v>131</v>
      </c>
      <c r="B11">
        <v>7500</v>
      </c>
    </row>
    <row r="12" spans="1:2" ht="15.75" thickBot="1" x14ac:dyDescent="0.3">
      <c r="A12" s="92" t="s">
        <v>155</v>
      </c>
      <c r="B12">
        <v>41562.5</v>
      </c>
    </row>
    <row r="13" spans="1:2" ht="15.75" thickBot="1" x14ac:dyDescent="0.3">
      <c r="A13" s="92" t="s">
        <v>156</v>
      </c>
      <c r="B13">
        <v>49496.07</v>
      </c>
    </row>
    <row r="14" spans="1:2" ht="15.75" thickBot="1" x14ac:dyDescent="0.3">
      <c r="A14" s="92" t="s">
        <v>157</v>
      </c>
      <c r="B14">
        <v>30000</v>
      </c>
    </row>
    <row r="15" spans="1:2" x14ac:dyDescent="0.25">
      <c r="A15" s="142" t="s">
        <v>149</v>
      </c>
      <c r="B15">
        <v>19496.07</v>
      </c>
    </row>
    <row r="16" spans="1:2" x14ac:dyDescent="0.25">
      <c r="A16" s="143"/>
    </row>
    <row r="17" spans="1:1" x14ac:dyDescent="0.25">
      <c r="A17" s="143"/>
    </row>
    <row r="18" spans="1:1" x14ac:dyDescent="0.25">
      <c r="A18" s="144"/>
    </row>
    <row r="19" spans="1:1" x14ac:dyDescent="0.25">
      <c r="A19" s="143"/>
    </row>
    <row r="20" spans="1:1" x14ac:dyDescent="0.25">
      <c r="A20" s="143"/>
    </row>
    <row r="21" spans="1:1" x14ac:dyDescent="0.25">
      <c r="A21" s="143"/>
    </row>
    <row r="22" spans="1:1" x14ac:dyDescent="0.25">
      <c r="A22" s="1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Inventario</vt:lpstr>
      <vt:lpstr>Balance G.</vt:lpstr>
      <vt:lpstr>Libro diario </vt:lpstr>
      <vt:lpstr>Libro Mayor </vt:lpstr>
      <vt:lpstr>Balanza </vt:lpstr>
      <vt:lpstr>H. T</vt:lpstr>
      <vt:lpstr>Estados F</vt:lpstr>
      <vt:lpstr>Estados de Resultados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264984 - KATHERINE MAYERLI PALENCIA SOLANO</dc:creator>
  <cp:lastModifiedBy>!!!Yeison Leiva!!!</cp:lastModifiedBy>
  <dcterms:created xsi:type="dcterms:W3CDTF">2026-03-05T22:57:00Z</dcterms:created>
  <dcterms:modified xsi:type="dcterms:W3CDTF">2026-05-29T05:05:24Z</dcterms:modified>
</cp:coreProperties>
</file>