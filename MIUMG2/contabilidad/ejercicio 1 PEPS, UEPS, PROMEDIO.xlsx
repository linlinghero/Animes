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48530A00-C79D-4536-8898-0E80D30EAC45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PEPS" sheetId="1" r:id="rId1"/>
    <sheet name="UEPS" sheetId="2" r:id="rId2"/>
    <sheet name="Promedi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3" l="1"/>
  <c r="G12" i="3"/>
  <c r="B11" i="3"/>
  <c r="D10" i="3"/>
  <c r="D8" i="3"/>
  <c r="B5" i="3"/>
  <c r="D4" i="3"/>
  <c r="J3" i="3"/>
  <c r="D5" i="3" s="1"/>
  <c r="J5" i="3" s="1"/>
  <c r="J24" i="1"/>
  <c r="J23" i="1"/>
  <c r="G23" i="1"/>
  <c r="G22" i="1"/>
  <c r="G21" i="1"/>
  <c r="J20" i="1"/>
  <c r="D20" i="1"/>
  <c r="J17" i="1"/>
  <c r="D19" i="1"/>
  <c r="D18" i="1"/>
  <c r="G17" i="1"/>
  <c r="G16" i="1"/>
  <c r="D15" i="1"/>
  <c r="J13" i="2"/>
  <c r="G12" i="2"/>
  <c r="G11" i="2"/>
  <c r="G10" i="2"/>
  <c r="J12" i="2" s="1"/>
  <c r="D9" i="2"/>
  <c r="D8" i="2"/>
  <c r="D7" i="2"/>
  <c r="J9" i="2" s="1"/>
  <c r="G6" i="2"/>
  <c r="G5" i="2"/>
  <c r="J6" i="2" s="1"/>
  <c r="J3" i="2"/>
  <c r="D4" i="2"/>
  <c r="J14" i="1"/>
  <c r="H13" i="3" l="1"/>
  <c r="J13" i="3" s="1"/>
  <c r="H7" i="3"/>
  <c r="J7" i="3" l="1"/>
  <c r="D9" i="3" s="1"/>
  <c r="B9" i="3"/>
  <c r="D11" i="3" l="1"/>
  <c r="J11" i="3" s="1"/>
  <c r="J9" i="3"/>
</calcChain>
</file>

<file path=xl/sharedStrings.xml><?xml version="1.0" encoding="utf-8"?>
<sst xmlns="http://schemas.openxmlformats.org/spreadsheetml/2006/main" count="69" uniqueCount="28">
  <si>
    <t>EMPRESA</t>
  </si>
  <si>
    <t>Editorial Almmar, S.A</t>
  </si>
  <si>
    <t>MÉTODO DE EVALUACIÓN A UTILIZAR</t>
  </si>
  <si>
    <t>PEPS</t>
  </si>
  <si>
    <t>MATERIA PRIMA</t>
  </si>
  <si>
    <t>Papel bond 80 Gramos carta</t>
  </si>
  <si>
    <t>UNIDAD DE MEDIDA</t>
  </si>
  <si>
    <t>Resma (500 hojas)</t>
  </si>
  <si>
    <t>MONEDA</t>
  </si>
  <si>
    <t>Quetzal</t>
  </si>
  <si>
    <t>PROVEEDOR</t>
  </si>
  <si>
    <t>Papelera luz, S.A</t>
  </si>
  <si>
    <t>ENTRADAS</t>
  </si>
  <si>
    <t>SALIDAS</t>
  </si>
  <si>
    <t>EXISTENCIA</t>
  </si>
  <si>
    <t>Fecha Descripción</t>
  </si>
  <si>
    <t>cantidad</t>
  </si>
  <si>
    <t>Costo U</t>
  </si>
  <si>
    <t>Costo total</t>
  </si>
  <si>
    <t xml:space="preserve">2 de enero </t>
  </si>
  <si>
    <t>3 de enero</t>
  </si>
  <si>
    <t>4 de enero</t>
  </si>
  <si>
    <t>15 de enero</t>
  </si>
  <si>
    <t>28 de enero</t>
  </si>
  <si>
    <t>31 de enero</t>
  </si>
  <si>
    <t>2 de enero</t>
  </si>
  <si>
    <t>ñ</t>
  </si>
  <si>
    <t xml:space="preserve">28 de enero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</si>
</sst>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Q-100A]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164" fontId="0" fillId="0" borderId="0" xfId="0" applyNumberFormat="1"/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0" fontId="2" fillId="0" borderId="0" xfId="0" applyFont="1"/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0</xdr:row>
      <xdr:rowOff>0</xdr:rowOff>
    </xdr:from>
    <xdr:to>
      <xdr:col>6</xdr:col>
      <xdr:colOff>952500</xdr:colOff>
      <xdr:row>10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A26DAB-52FD-C50E-5F91-D91F67A9B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0"/>
          <a:ext cx="4572000" cy="2019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466725</xdr:colOff>
      <xdr:row>0</xdr:row>
      <xdr:rowOff>66675</xdr:rowOff>
    </xdr:from>
    <xdr:to>
      <xdr:col>22</xdr:col>
      <xdr:colOff>504825</xdr:colOff>
      <xdr:row>17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6570AA-2085-4537-A7A3-0B2C9FF48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1125" y="66675"/>
          <a:ext cx="7353300" cy="3248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209550</xdr:colOff>
      <xdr:row>0</xdr:row>
      <xdr:rowOff>0</xdr:rowOff>
    </xdr:from>
    <xdr:to>
      <xdr:col>23</xdr:col>
      <xdr:colOff>171450</xdr:colOff>
      <xdr:row>18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DFF0E6-398E-4E10-9FAD-AA9FA0520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5175" y="0"/>
          <a:ext cx="7886700" cy="3600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opLeftCell="A12" workbookViewId="0">
      <selection activeCell="J25" sqref="J25"/>
    </sheetView>
  </sheetViews>
  <sheetFormatPr defaultRowHeight="15"/>
  <cols>
    <col min="1" max="1" width="33.140625" customWidth="1"/>
    <col min="2" max="2" width="27.28515625" style="5" customWidth="1"/>
    <col min="3" max="3" width="13" style="5" customWidth="1"/>
    <col min="4" max="4" width="14" style="5" customWidth="1"/>
    <col min="5" max="5" width="15.7109375" style="5" customWidth="1"/>
    <col min="6" max="6" width="16.7109375" style="5" customWidth="1"/>
    <col min="7" max="7" width="16.5703125" style="5" customWidth="1"/>
    <col min="8" max="8" width="18.42578125" style="5" customWidth="1"/>
    <col min="9" max="9" width="16.140625" style="5" customWidth="1"/>
    <col min="10" max="10" width="16.7109375" style="5" customWidth="1"/>
  </cols>
  <sheetData>
    <row r="1" spans="1:10">
      <c r="A1" s="1" t="s">
        <v>0</v>
      </c>
      <c r="B1" s="4" t="s">
        <v>1</v>
      </c>
    </row>
    <row r="2" spans="1:10">
      <c r="A2" s="1" t="s">
        <v>2</v>
      </c>
      <c r="B2" s="4" t="s">
        <v>3</v>
      </c>
    </row>
    <row r="3" spans="1:10">
      <c r="A3" s="1" t="s">
        <v>4</v>
      </c>
      <c r="B3" s="4" t="s">
        <v>5</v>
      </c>
    </row>
    <row r="4" spans="1:10">
      <c r="A4" s="1" t="s">
        <v>6</v>
      </c>
      <c r="B4" s="4" t="s">
        <v>7</v>
      </c>
    </row>
    <row r="5" spans="1:10">
      <c r="A5" s="1" t="s">
        <v>8</v>
      </c>
      <c r="B5" s="4" t="s">
        <v>9</v>
      </c>
    </row>
    <row r="6" spans="1:10">
      <c r="A6" s="1" t="s">
        <v>10</v>
      </c>
      <c r="B6" s="4" t="s">
        <v>11</v>
      </c>
    </row>
    <row r="12" spans="1:10">
      <c r="A12" s="2"/>
      <c r="B12" s="9" t="s">
        <v>12</v>
      </c>
      <c r="C12" s="9"/>
      <c r="D12" s="9"/>
      <c r="E12" s="9" t="s">
        <v>13</v>
      </c>
      <c r="F12" s="9"/>
      <c r="G12" s="9"/>
      <c r="H12" s="9" t="s">
        <v>14</v>
      </c>
      <c r="I12" s="9"/>
      <c r="J12" s="9"/>
    </row>
    <row r="13" spans="1:10">
      <c r="A13" s="3" t="s">
        <v>15</v>
      </c>
      <c r="B13" s="6" t="s">
        <v>16</v>
      </c>
      <c r="C13" s="6" t="s">
        <v>17</v>
      </c>
      <c r="D13" s="6" t="s">
        <v>18</v>
      </c>
      <c r="E13" s="6" t="s">
        <v>16</v>
      </c>
      <c r="F13" s="6" t="s">
        <v>17</v>
      </c>
      <c r="G13" s="6" t="s">
        <v>18</v>
      </c>
      <c r="H13" s="6" t="s">
        <v>16</v>
      </c>
      <c r="I13" s="6" t="s">
        <v>17</v>
      </c>
      <c r="J13" s="6" t="s">
        <v>18</v>
      </c>
    </row>
    <row r="14" spans="1:10">
      <c r="A14" s="2" t="s">
        <v>19</v>
      </c>
      <c r="B14" s="7"/>
      <c r="C14" s="7"/>
      <c r="D14" s="7"/>
      <c r="E14" s="7"/>
      <c r="F14" s="7"/>
      <c r="G14" s="7"/>
      <c r="H14" s="7">
        <v>1000</v>
      </c>
      <c r="I14" s="7">
        <v>17</v>
      </c>
      <c r="J14" s="7">
        <f>H14*I14</f>
        <v>17000</v>
      </c>
    </row>
    <row r="15" spans="1:10">
      <c r="A15" s="2" t="s">
        <v>20</v>
      </c>
      <c r="B15" s="7">
        <v>500</v>
      </c>
      <c r="C15" s="7">
        <v>19</v>
      </c>
      <c r="D15" s="7">
        <f>B15*C15</f>
        <v>9500</v>
      </c>
      <c r="E15" s="7"/>
      <c r="F15" s="7"/>
      <c r="G15" s="7"/>
      <c r="H15" s="7"/>
      <c r="I15" s="7"/>
      <c r="J15" s="7">
        <v>9500</v>
      </c>
    </row>
    <row r="16" spans="1:10">
      <c r="A16" s="2" t="s">
        <v>21</v>
      </c>
      <c r="B16" s="7"/>
      <c r="C16" s="7"/>
      <c r="D16" s="7"/>
      <c r="E16" s="7">
        <v>1000</v>
      </c>
      <c r="F16" s="7">
        <v>17</v>
      </c>
      <c r="G16" s="7">
        <f>E16*F16</f>
        <v>17000</v>
      </c>
      <c r="H16" s="7"/>
      <c r="I16" s="7"/>
      <c r="J16" s="7"/>
    </row>
    <row r="17" spans="1:10">
      <c r="A17" s="2"/>
      <c r="B17" s="7"/>
      <c r="C17" s="7"/>
      <c r="D17" s="7"/>
      <c r="E17" s="7">
        <v>100</v>
      </c>
      <c r="F17" s="7">
        <v>19</v>
      </c>
      <c r="G17" s="7">
        <f>E17*F17</f>
        <v>1900</v>
      </c>
      <c r="H17" s="7"/>
      <c r="I17" s="7"/>
      <c r="J17" s="7">
        <f>SUM(G16:G17)</f>
        <v>18900</v>
      </c>
    </row>
    <row r="18" spans="1:10">
      <c r="A18" t="s">
        <v>22</v>
      </c>
      <c r="B18" s="5">
        <v>400</v>
      </c>
      <c r="C18" s="5">
        <v>19</v>
      </c>
      <c r="D18" s="5">
        <f>B18*C18</f>
        <v>7600</v>
      </c>
    </row>
    <row r="19" spans="1:10">
      <c r="A19" s="2"/>
      <c r="B19" s="7">
        <v>600</v>
      </c>
      <c r="C19" s="7">
        <v>22</v>
      </c>
      <c r="D19" s="7">
        <f>B19*C19</f>
        <v>13200</v>
      </c>
      <c r="E19" s="7"/>
      <c r="F19" s="7"/>
      <c r="G19" s="7"/>
      <c r="H19" s="7"/>
      <c r="I19" s="7"/>
      <c r="J19" s="7"/>
    </row>
    <row r="20" spans="1:10">
      <c r="A20" s="2" t="s">
        <v>23</v>
      </c>
      <c r="B20" s="7">
        <v>500</v>
      </c>
      <c r="C20" s="7">
        <v>22.5</v>
      </c>
      <c r="D20" s="7">
        <f>B20*C20</f>
        <v>11250</v>
      </c>
      <c r="E20" s="7"/>
      <c r="F20" s="7"/>
      <c r="G20" s="7"/>
      <c r="H20" s="7"/>
      <c r="I20" s="7"/>
      <c r="J20" s="7">
        <f>SUM(D18:D20)</f>
        <v>32050</v>
      </c>
    </row>
    <row r="21" spans="1:10">
      <c r="A21" s="2" t="s">
        <v>24</v>
      </c>
      <c r="B21" s="7"/>
      <c r="C21" s="7"/>
      <c r="D21" s="7"/>
      <c r="E21" s="7">
        <v>400</v>
      </c>
      <c r="F21" s="7">
        <v>19</v>
      </c>
      <c r="G21" s="7">
        <f>E21*F21</f>
        <v>7600</v>
      </c>
      <c r="H21" s="7"/>
      <c r="I21" s="7"/>
      <c r="J21" s="7"/>
    </row>
    <row r="22" spans="1:10">
      <c r="A22" s="2"/>
      <c r="B22" s="7"/>
      <c r="C22" s="7"/>
      <c r="D22" s="7"/>
      <c r="E22" s="7">
        <v>600</v>
      </c>
      <c r="F22" s="7">
        <v>22</v>
      </c>
      <c r="G22" s="7">
        <f>E22*F22</f>
        <v>13200</v>
      </c>
      <c r="H22" s="7"/>
      <c r="I22" s="7"/>
      <c r="J22" s="7"/>
    </row>
    <row r="23" spans="1:10">
      <c r="A23" s="2"/>
      <c r="B23" s="7"/>
      <c r="C23" s="7"/>
      <c r="D23" s="7"/>
      <c r="E23" s="7">
        <v>200</v>
      </c>
      <c r="F23" s="7">
        <v>22.5</v>
      </c>
      <c r="G23" s="7">
        <f>E23*F23</f>
        <v>4500</v>
      </c>
      <c r="H23" s="7"/>
      <c r="I23" s="7"/>
      <c r="J23" s="7">
        <f>SUM(G21:G23)</f>
        <v>25300</v>
      </c>
    </row>
    <row r="24" spans="1:10">
      <c r="A24" s="2"/>
      <c r="B24" s="7"/>
      <c r="C24" s="7"/>
      <c r="D24" s="7"/>
      <c r="E24" s="7"/>
      <c r="F24" s="7"/>
      <c r="G24" s="7"/>
      <c r="H24" s="7">
        <v>300</v>
      </c>
      <c r="I24" s="7">
        <v>22.5</v>
      </c>
      <c r="J24" s="7">
        <f>H24*I24</f>
        <v>6750</v>
      </c>
    </row>
    <row r="25" spans="1:10">
      <c r="A25" s="2"/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2"/>
      <c r="B26" s="7"/>
      <c r="C26" s="7"/>
      <c r="D26" s="7"/>
      <c r="E26" s="7"/>
      <c r="F26" s="7"/>
      <c r="G26" s="7"/>
      <c r="H26" s="7"/>
      <c r="I26" s="7"/>
      <c r="J26" s="7"/>
    </row>
  </sheetData>
  <mergeCells count="3">
    <mergeCell ref="B12:D12"/>
    <mergeCell ref="E12:G12"/>
    <mergeCell ref="H12:J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AD6C-1B74-4D6D-93CA-DFFE5D25CD82}">
  <dimension ref="A1:J16"/>
  <sheetViews>
    <sheetView workbookViewId="0">
      <selection activeCell="D17" sqref="D17"/>
    </sheetView>
  </sheetViews>
  <sheetFormatPr defaultRowHeight="15"/>
  <cols>
    <col min="1" max="1" width="29.42578125" customWidth="1"/>
    <col min="2" max="2" width="15.5703125" customWidth="1"/>
    <col min="3" max="3" width="10.28515625" customWidth="1"/>
    <col min="4" max="4" width="11.42578125" customWidth="1"/>
    <col min="5" max="5" width="11.140625" customWidth="1"/>
    <col min="7" max="7" width="10.85546875" customWidth="1"/>
    <col min="8" max="8" width="10.140625" customWidth="1"/>
    <col min="10" max="10" width="10.85546875" customWidth="1"/>
  </cols>
  <sheetData>
    <row r="1" spans="1:10">
      <c r="A1" s="2"/>
      <c r="B1" s="9" t="s">
        <v>12</v>
      </c>
      <c r="C1" s="9"/>
      <c r="D1" s="9"/>
      <c r="E1" s="10" t="s">
        <v>13</v>
      </c>
      <c r="F1" s="11"/>
      <c r="G1" s="12"/>
      <c r="H1" s="10" t="s">
        <v>14</v>
      </c>
      <c r="I1" s="11"/>
      <c r="J1" s="12"/>
    </row>
    <row r="2" spans="1:10">
      <c r="A2" s="3" t="s">
        <v>15</v>
      </c>
      <c r="B2" s="6" t="s">
        <v>16</v>
      </c>
      <c r="C2" s="6" t="s">
        <v>17</v>
      </c>
      <c r="D2" s="6" t="s">
        <v>18</v>
      </c>
      <c r="E2" s="6" t="s">
        <v>16</v>
      </c>
      <c r="F2" s="6" t="s">
        <v>17</v>
      </c>
      <c r="G2" s="6" t="s">
        <v>18</v>
      </c>
      <c r="H2" s="6" t="s">
        <v>16</v>
      </c>
      <c r="I2" s="6" t="s">
        <v>17</v>
      </c>
      <c r="J2" s="6" t="s">
        <v>18</v>
      </c>
    </row>
    <row r="3" spans="1:10">
      <c r="A3" s="2" t="s">
        <v>25</v>
      </c>
      <c r="B3" s="7"/>
      <c r="C3" s="7"/>
      <c r="D3" s="7"/>
      <c r="E3" s="7"/>
      <c r="F3" s="7"/>
      <c r="G3" s="7"/>
      <c r="H3" s="7">
        <v>1000</v>
      </c>
      <c r="I3" s="7">
        <v>17</v>
      </c>
      <c r="J3" s="7">
        <f>H3*I3</f>
        <v>17000</v>
      </c>
    </row>
    <row r="4" spans="1:10">
      <c r="A4" s="2" t="s">
        <v>20</v>
      </c>
      <c r="B4" s="7">
        <v>500</v>
      </c>
      <c r="C4" s="7">
        <v>19</v>
      </c>
      <c r="D4" s="7">
        <f>B4*C4</f>
        <v>9500</v>
      </c>
      <c r="E4" s="7"/>
      <c r="F4" s="7"/>
      <c r="G4" s="7"/>
      <c r="H4" s="7"/>
      <c r="I4" s="7"/>
      <c r="J4" s="7">
        <v>8480</v>
      </c>
    </row>
    <row r="5" spans="1:10">
      <c r="A5" s="2" t="s">
        <v>21</v>
      </c>
      <c r="B5" s="7"/>
      <c r="C5" s="7"/>
      <c r="D5" s="7"/>
      <c r="E5" s="7">
        <v>500</v>
      </c>
      <c r="F5" s="7">
        <v>16.96</v>
      </c>
      <c r="G5" s="7">
        <f>E5*F5</f>
        <v>8480</v>
      </c>
      <c r="H5" s="7"/>
      <c r="I5" s="7"/>
      <c r="J5" s="7"/>
    </row>
    <row r="6" spans="1:10">
      <c r="A6" s="2"/>
      <c r="B6" s="7"/>
      <c r="C6" s="7"/>
      <c r="D6" s="7"/>
      <c r="E6" s="5">
        <v>600</v>
      </c>
      <c r="F6" s="5">
        <v>15.18</v>
      </c>
      <c r="G6" s="5">
        <f>E6*F6</f>
        <v>9108</v>
      </c>
      <c r="H6" s="5"/>
      <c r="I6" s="5"/>
      <c r="J6" s="5">
        <f>SUM(G5:G6)</f>
        <v>17588</v>
      </c>
    </row>
    <row r="7" spans="1:10">
      <c r="A7" t="s">
        <v>22</v>
      </c>
      <c r="B7" s="7">
        <v>400</v>
      </c>
      <c r="C7" s="7">
        <v>17</v>
      </c>
      <c r="D7" s="7">
        <f>B7*C7</f>
        <v>6800</v>
      </c>
    </row>
    <row r="8" spans="1:10">
      <c r="A8" s="2"/>
      <c r="B8" s="7">
        <v>600</v>
      </c>
      <c r="C8" s="7">
        <v>22</v>
      </c>
      <c r="D8" s="7">
        <f>B8*C8</f>
        <v>13200</v>
      </c>
      <c r="E8" s="7"/>
      <c r="F8" s="7"/>
      <c r="G8" s="7"/>
      <c r="H8" s="7"/>
      <c r="I8" s="7"/>
      <c r="J8" s="7"/>
    </row>
    <row r="9" spans="1:10">
      <c r="A9" s="2" t="s">
        <v>23</v>
      </c>
      <c r="B9" s="5">
        <v>500</v>
      </c>
      <c r="C9" s="5">
        <v>22.5</v>
      </c>
      <c r="D9" s="5">
        <f>B9*C9</f>
        <v>11250</v>
      </c>
      <c r="E9" s="7"/>
      <c r="F9" s="7"/>
      <c r="G9" s="7"/>
      <c r="H9" s="7"/>
      <c r="I9" s="7"/>
      <c r="J9" s="7">
        <f>SUM(D7:D9)</f>
        <v>31250</v>
      </c>
    </row>
    <row r="10" spans="1:10">
      <c r="A10" s="2"/>
      <c r="B10" s="7"/>
      <c r="C10" s="7"/>
      <c r="D10" s="7"/>
      <c r="E10" s="7">
        <v>500</v>
      </c>
      <c r="F10" s="7">
        <v>22.5</v>
      </c>
      <c r="G10" s="7">
        <f>E10*F10</f>
        <v>11250</v>
      </c>
      <c r="H10" s="7"/>
      <c r="I10" s="7"/>
      <c r="J10" s="7"/>
    </row>
    <row r="11" spans="1:10">
      <c r="A11" s="2"/>
      <c r="B11" s="7"/>
      <c r="C11" s="7"/>
      <c r="D11" s="7"/>
      <c r="E11" s="7">
        <v>600</v>
      </c>
      <c r="F11" s="7">
        <v>22</v>
      </c>
      <c r="G11" s="7">
        <f>E11*F11</f>
        <v>13200</v>
      </c>
      <c r="H11" s="7"/>
      <c r="I11" s="7"/>
      <c r="J11" s="7"/>
    </row>
    <row r="12" spans="1:10">
      <c r="A12" s="2"/>
      <c r="B12" s="7"/>
      <c r="C12" s="7"/>
      <c r="D12" s="7"/>
      <c r="E12" s="7">
        <v>100</v>
      </c>
      <c r="F12" s="7">
        <v>17</v>
      </c>
      <c r="G12" s="7">
        <f>E12*F12</f>
        <v>1700</v>
      </c>
      <c r="H12" s="7"/>
      <c r="I12" s="7"/>
      <c r="J12" s="7">
        <f>SUM(G10:G12)</f>
        <v>26150</v>
      </c>
    </row>
    <row r="13" spans="1:10">
      <c r="A13" s="2"/>
      <c r="B13" s="7"/>
      <c r="C13" s="7"/>
      <c r="D13" s="7"/>
      <c r="E13" s="7"/>
      <c r="F13" s="7"/>
      <c r="G13" s="7"/>
      <c r="H13" s="7">
        <v>300</v>
      </c>
      <c r="I13" s="7">
        <v>17</v>
      </c>
      <c r="J13" s="7">
        <f>H13*I13</f>
        <v>5100</v>
      </c>
    </row>
    <row r="14" spans="1:10">
      <c r="A14" s="2"/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2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D16" t="s">
        <v>26</v>
      </c>
    </row>
  </sheetData>
  <mergeCells count="3">
    <mergeCell ref="B1:D1"/>
    <mergeCell ref="E1:G1"/>
    <mergeCell ref="H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BB2A-11BB-4914-BB5D-B6E10BCDD628}">
  <dimension ref="A1:J16"/>
  <sheetViews>
    <sheetView tabSelected="1" workbookViewId="0">
      <selection activeCell="B4" sqref="B4"/>
    </sheetView>
  </sheetViews>
  <sheetFormatPr defaultRowHeight="15"/>
  <cols>
    <col min="1" max="1" width="23.42578125" customWidth="1"/>
    <col min="2" max="2" width="14.5703125" style="5" customWidth="1"/>
    <col min="3" max="3" width="16.140625" style="5" customWidth="1"/>
    <col min="4" max="4" width="14.28515625" style="5" customWidth="1"/>
    <col min="5" max="5" width="15.42578125" style="5" customWidth="1"/>
    <col min="6" max="6" width="16.42578125" style="5" customWidth="1"/>
    <col min="7" max="7" width="14.140625" style="5" customWidth="1"/>
    <col min="8" max="8" width="15" style="5" customWidth="1"/>
    <col min="9" max="9" width="14" style="5" customWidth="1"/>
    <col min="10" max="10" width="17.28515625" style="5" customWidth="1"/>
  </cols>
  <sheetData>
    <row r="1" spans="1:10">
      <c r="A1" s="2"/>
      <c r="B1" s="13" t="s">
        <v>12</v>
      </c>
      <c r="C1" s="13"/>
      <c r="D1" s="13"/>
      <c r="E1" s="13" t="s">
        <v>13</v>
      </c>
      <c r="F1" s="13"/>
      <c r="G1" s="13"/>
      <c r="H1" s="13" t="s">
        <v>14</v>
      </c>
      <c r="I1" s="13"/>
      <c r="J1" s="13"/>
    </row>
    <row r="2" spans="1:10">
      <c r="A2" s="3" t="s">
        <v>15</v>
      </c>
      <c r="B2" s="6" t="s">
        <v>16</v>
      </c>
      <c r="C2" s="6" t="s">
        <v>17</v>
      </c>
      <c r="D2" s="6" t="s">
        <v>18</v>
      </c>
      <c r="E2" s="6" t="s">
        <v>16</v>
      </c>
      <c r="F2" s="6" t="s">
        <v>17</v>
      </c>
      <c r="G2" s="6" t="s">
        <v>18</v>
      </c>
      <c r="H2" s="6" t="s">
        <v>16</v>
      </c>
      <c r="I2" s="6" t="s">
        <v>17</v>
      </c>
      <c r="J2" s="6" t="s">
        <v>18</v>
      </c>
    </row>
    <row r="3" spans="1:10">
      <c r="A3" s="2" t="s">
        <v>19</v>
      </c>
      <c r="B3" s="7"/>
      <c r="C3" s="7"/>
      <c r="D3" s="7"/>
      <c r="E3" s="7"/>
      <c r="F3" s="7"/>
      <c r="G3" s="7"/>
      <c r="H3" s="14">
        <v>1000</v>
      </c>
      <c r="I3" s="7">
        <v>17</v>
      </c>
      <c r="J3" s="7">
        <f>H3*I3</f>
        <v>17000</v>
      </c>
    </row>
    <row r="4" spans="1:10">
      <c r="A4" s="2" t="s">
        <v>20</v>
      </c>
      <c r="B4" s="14">
        <v>500</v>
      </c>
      <c r="C4" s="7">
        <v>19</v>
      </c>
      <c r="D4" s="7">
        <f>B4*C4</f>
        <v>9500</v>
      </c>
      <c r="E4" s="7"/>
      <c r="F4" s="7"/>
      <c r="G4" s="7"/>
      <c r="H4" s="7"/>
      <c r="I4" s="7"/>
      <c r="J4" s="7"/>
    </row>
    <row r="5" spans="1:10">
      <c r="A5" s="2"/>
      <c r="B5" s="7">
        <f>SUM(H3+B4)</f>
        <v>1500</v>
      </c>
      <c r="C5" s="7"/>
      <c r="D5" s="7">
        <f>SUM(J3+D4)</f>
        <v>26500</v>
      </c>
      <c r="E5" s="7"/>
      <c r="F5" s="7"/>
      <c r="G5" s="7"/>
      <c r="H5" s="7"/>
      <c r="I5" s="7"/>
      <c r="J5" s="7">
        <f>D5/B5</f>
        <v>17.666666666666668</v>
      </c>
    </row>
    <row r="6" spans="1:10">
      <c r="A6" s="2" t="s">
        <v>21</v>
      </c>
      <c r="B6" s="7"/>
      <c r="C6" s="7"/>
      <c r="D6" s="7"/>
      <c r="E6" s="7">
        <v>1100</v>
      </c>
      <c r="F6" s="7">
        <v>17.670000000000002</v>
      </c>
      <c r="G6" s="7">
        <f>E6*F6</f>
        <v>19437.000000000004</v>
      </c>
      <c r="H6" s="7"/>
      <c r="I6" s="7"/>
      <c r="J6" s="7"/>
    </row>
    <row r="7" spans="1:10">
      <c r="A7" s="2"/>
      <c r="B7" s="7"/>
      <c r="C7" s="7"/>
      <c r="D7" s="7"/>
      <c r="E7" s="7"/>
      <c r="F7" s="7"/>
      <c r="G7" s="7"/>
      <c r="H7" s="7">
        <f>B5-E6</f>
        <v>400</v>
      </c>
      <c r="I7" s="7">
        <v>17.670000000000002</v>
      </c>
      <c r="J7" s="7">
        <f>H7*I7</f>
        <v>7068.0000000000009</v>
      </c>
    </row>
    <row r="8" spans="1:10">
      <c r="A8" s="2" t="s">
        <v>22</v>
      </c>
      <c r="B8" s="7">
        <v>600</v>
      </c>
      <c r="C8" s="7">
        <v>22</v>
      </c>
      <c r="D8" s="7">
        <f>B8*C8</f>
        <v>13200</v>
      </c>
      <c r="E8" s="7"/>
      <c r="F8" s="7"/>
      <c r="G8" s="7"/>
      <c r="H8" s="7"/>
      <c r="I8" s="7"/>
      <c r="J8" s="7"/>
    </row>
    <row r="9" spans="1:10">
      <c r="A9" s="2"/>
      <c r="B9" s="7">
        <f>H7+B8</f>
        <v>1000</v>
      </c>
      <c r="C9" s="7"/>
      <c r="D9" s="7">
        <f>SUM(J7+D8)</f>
        <v>20268</v>
      </c>
      <c r="E9" s="7"/>
      <c r="F9" s="7"/>
      <c r="G9" s="7"/>
      <c r="H9" s="7"/>
      <c r="I9" s="7"/>
      <c r="J9" s="7">
        <f>D9/B9</f>
        <v>20.268000000000001</v>
      </c>
    </row>
    <row r="10" spans="1:10">
      <c r="A10" s="2" t="s">
        <v>27</v>
      </c>
      <c r="B10" s="7">
        <v>500</v>
      </c>
      <c r="C10" s="7">
        <v>22.5</v>
      </c>
      <c r="D10" s="7">
        <f>B10*C10</f>
        <v>11250</v>
      </c>
      <c r="E10" s="7"/>
      <c r="F10" s="7"/>
      <c r="G10" s="7"/>
      <c r="H10" s="7"/>
      <c r="I10" s="7"/>
      <c r="J10" s="7"/>
    </row>
    <row r="11" spans="1:10">
      <c r="A11" s="2"/>
      <c r="B11" s="7">
        <f>SUM(H3+B4)</f>
        <v>1500</v>
      </c>
      <c r="C11" s="7"/>
      <c r="D11" s="7">
        <f>SUM(D9:D10)</f>
        <v>31518</v>
      </c>
      <c r="E11" s="7"/>
      <c r="F11" s="7"/>
      <c r="G11" s="7"/>
      <c r="H11" s="7"/>
      <c r="I11" s="7"/>
      <c r="J11" s="7">
        <f>D11/B11</f>
        <v>21.012</v>
      </c>
    </row>
    <row r="12" spans="1:10">
      <c r="A12" s="2" t="s">
        <v>24</v>
      </c>
      <c r="B12" s="7"/>
      <c r="C12" s="7"/>
      <c r="D12" s="7"/>
      <c r="E12" s="7">
        <v>1200</v>
      </c>
      <c r="F12" s="7">
        <v>21.01</v>
      </c>
      <c r="G12" s="7">
        <f>E12*F12</f>
        <v>25212.000000000004</v>
      </c>
      <c r="H12" s="7"/>
      <c r="I12" s="7"/>
      <c r="J12" s="7"/>
    </row>
    <row r="13" spans="1:10">
      <c r="A13" s="2"/>
      <c r="B13" s="7"/>
      <c r="C13" s="7"/>
      <c r="D13" s="7"/>
      <c r="H13" s="7">
        <f>B5-E12</f>
        <v>300</v>
      </c>
      <c r="I13" s="7">
        <v>21.01</v>
      </c>
      <c r="J13" s="7">
        <f>H13*I13</f>
        <v>6303.0000000000009</v>
      </c>
    </row>
    <row r="14" spans="1:10">
      <c r="A14" s="2"/>
      <c r="B14" s="7"/>
      <c r="C14" s="7"/>
      <c r="D14" s="7"/>
      <c r="E14" s="7"/>
      <c r="F14" s="7"/>
      <c r="G14" s="7"/>
      <c r="H14" s="7"/>
      <c r="I14" s="7"/>
      <c r="J14" s="7"/>
    </row>
    <row r="16" spans="1:10">
      <c r="A16" s="8"/>
    </row>
  </sheetData>
  <mergeCells count="3">
    <mergeCell ref="B1:D1"/>
    <mergeCell ref="E1:G1"/>
    <mergeCell ref="H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2026-07-29T22:38:36Z</dcterms:created>
  <dcterms:modified xsi:type="dcterms:W3CDTF">2026-08-04T04:24:36Z</dcterms:modified>
  <cp:category/>
  <cp:contentStatus/>
</cp:coreProperties>
</file>