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2f89157a7f5a3a/Documentos/Umg_Universidad/Contabilidad_ll/proyecto_Conta_U/"/>
    </mc:Choice>
  </mc:AlternateContent>
  <xr:revisionPtr revIDLastSave="258" documentId="8_{CD1AC1C6-52C2-41F1-818E-DAF8F1D8A163}" xr6:coauthVersionLast="47" xr6:coauthVersionMax="47" xr10:uidLastSave="{6AFDEE0E-D341-4657-90F7-F160B7541D34}"/>
  <bookViews>
    <workbookView xWindow="-98" yWindow="-98" windowWidth="21795" windowHeight="12975" activeTab="2" xr2:uid="{A8F2D369-5BA9-4ED2-947E-DCA29434C36B}"/>
  </bookViews>
  <sheets>
    <sheet name="PEPS" sheetId="1" r:id="rId1"/>
    <sheet name="UEPS" sheetId="2" r:id="rId2"/>
    <sheet name="PROMEDI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4" i="3" l="1"/>
  <c r="C24" i="3"/>
  <c r="B24" i="3"/>
  <c r="D33" i="2"/>
  <c r="C33" i="2"/>
  <c r="B33" i="2"/>
  <c r="D34" i="1"/>
  <c r="C34" i="1"/>
  <c r="B34" i="1"/>
  <c r="J20" i="3"/>
  <c r="I20" i="3"/>
  <c r="H20" i="3"/>
  <c r="G20" i="3"/>
  <c r="F20" i="3"/>
  <c r="J19" i="3"/>
  <c r="I19" i="3"/>
  <c r="H19" i="3"/>
  <c r="G19" i="3"/>
  <c r="F19" i="3"/>
  <c r="J18" i="3"/>
  <c r="I18" i="3"/>
  <c r="H18" i="3"/>
  <c r="G18" i="3"/>
  <c r="F18" i="3"/>
  <c r="J17" i="3"/>
  <c r="I17" i="3"/>
  <c r="H17" i="3"/>
  <c r="D17" i="3"/>
  <c r="C17" i="3"/>
  <c r="J16" i="3"/>
  <c r="I16" i="3"/>
  <c r="H16" i="3"/>
  <c r="C16" i="3"/>
  <c r="D16" i="3"/>
  <c r="J30" i="2"/>
  <c r="I30" i="2"/>
  <c r="J29" i="2"/>
  <c r="I29" i="2"/>
  <c r="H29" i="2"/>
  <c r="J28" i="2"/>
  <c r="I28" i="2"/>
  <c r="G28" i="2"/>
  <c r="F28" i="2"/>
  <c r="J27" i="2"/>
  <c r="I27" i="2"/>
  <c r="J26" i="2"/>
  <c r="I26" i="2"/>
  <c r="J25" i="2"/>
  <c r="I25" i="2"/>
  <c r="J20" i="2"/>
  <c r="I20" i="2"/>
  <c r="I19" i="2"/>
  <c r="I18" i="2"/>
  <c r="I22" i="2" s="1"/>
  <c r="J22" i="2" s="1"/>
  <c r="J21" i="2"/>
  <c r="I21" i="2"/>
  <c r="F26" i="2"/>
  <c r="G26" i="2" s="1"/>
  <c r="F25" i="2"/>
  <c r="G25" i="2"/>
  <c r="J24" i="2"/>
  <c r="I24" i="2"/>
  <c r="I23" i="2"/>
  <c r="J23" i="2" s="1"/>
  <c r="G21" i="2"/>
  <c r="F21" i="2"/>
  <c r="J19" i="2"/>
  <c r="J17" i="2"/>
  <c r="I17" i="2"/>
  <c r="H17" i="2"/>
  <c r="D17" i="2"/>
  <c r="C17" i="2"/>
  <c r="J16" i="2"/>
  <c r="I16" i="2"/>
  <c r="J15" i="2"/>
  <c r="I15" i="2"/>
  <c r="J14" i="2"/>
  <c r="I14" i="2"/>
  <c r="H14" i="2"/>
  <c r="D14" i="2"/>
  <c r="C14" i="2"/>
  <c r="J31" i="1"/>
  <c r="I31" i="1"/>
  <c r="J30" i="1"/>
  <c r="I30" i="1"/>
  <c r="G30" i="1"/>
  <c r="F30" i="1"/>
  <c r="G29" i="1"/>
  <c r="F29" i="1"/>
  <c r="J27" i="1"/>
  <c r="J28" i="1"/>
  <c r="I28" i="1"/>
  <c r="I27" i="1"/>
  <c r="J26" i="1"/>
  <c r="I26" i="1"/>
  <c r="G26" i="1"/>
  <c r="F26" i="1"/>
  <c r="J25" i="1"/>
  <c r="I25" i="1"/>
  <c r="J24" i="1"/>
  <c r="I24" i="1"/>
  <c r="J23" i="1"/>
  <c r="I23" i="1"/>
  <c r="G23" i="1"/>
  <c r="F23" i="1"/>
  <c r="G22" i="1"/>
  <c r="F22" i="1"/>
  <c r="J21" i="1"/>
  <c r="I21" i="1"/>
  <c r="J20" i="1"/>
  <c r="I20" i="1"/>
  <c r="J19" i="1"/>
  <c r="I19" i="1"/>
  <c r="J18" i="1"/>
  <c r="I18" i="1"/>
  <c r="D18" i="1"/>
  <c r="C18" i="1"/>
  <c r="J17" i="1"/>
  <c r="I17" i="1"/>
  <c r="J16" i="1"/>
  <c r="I16" i="1"/>
  <c r="J15" i="1"/>
  <c r="I15" i="1"/>
  <c r="D15" i="1"/>
  <c r="C15" i="1"/>
  <c r="C15" i="3"/>
  <c r="D15" i="3" s="1"/>
  <c r="H14" i="3"/>
  <c r="C13" i="3"/>
  <c r="D13" i="3" s="1"/>
  <c r="J13" i="3" s="1"/>
  <c r="I13" i="2"/>
  <c r="H13" i="2"/>
  <c r="H12" i="2"/>
  <c r="C12" i="2"/>
  <c r="D12" i="2" s="1"/>
  <c r="J13" i="2" s="1"/>
  <c r="C10" i="2"/>
  <c r="F11" i="2" s="1"/>
  <c r="I13" i="3" l="1"/>
  <c r="J18" i="2"/>
  <c r="I11" i="2"/>
  <c r="G11" i="2"/>
  <c r="D10" i="2"/>
  <c r="J10" i="2" s="1"/>
  <c r="I10" i="2"/>
  <c r="H14" i="1"/>
  <c r="C13" i="1"/>
  <c r="I14" i="1" s="1"/>
  <c r="C11" i="1"/>
  <c r="I11" i="1"/>
  <c r="I12" i="1" s="1"/>
  <c r="I13" i="1" s="1"/>
  <c r="H11" i="1"/>
  <c r="H12" i="1" s="1"/>
  <c r="H13" i="1" s="1"/>
  <c r="D11" i="1"/>
  <c r="J11" i="1" s="1"/>
  <c r="I14" i="3" l="1"/>
  <c r="J14" i="3" s="1"/>
  <c r="I15" i="3" s="1"/>
  <c r="F14" i="3"/>
  <c r="G14" i="3" s="1"/>
  <c r="J11" i="2"/>
  <c r="J12" i="2" s="1"/>
  <c r="I12" i="2"/>
  <c r="D13" i="1"/>
  <c r="J14" i="1" s="1"/>
  <c r="J12" i="1"/>
  <c r="J13" i="1" s="1"/>
  <c r="F12" i="1"/>
  <c r="J15" i="3" l="1"/>
  <c r="G12" i="1"/>
</calcChain>
</file>

<file path=xl/sharedStrings.xml><?xml version="1.0" encoding="utf-8"?>
<sst xmlns="http://schemas.openxmlformats.org/spreadsheetml/2006/main" count="82" uniqueCount="27">
  <si>
    <t>EMPRESA</t>
  </si>
  <si>
    <t>MÉTODO DE EVELUACIÓN A UTILIZAR</t>
  </si>
  <si>
    <t>UNIDAD DE MEDIDA</t>
  </si>
  <si>
    <t>MONEDA</t>
  </si>
  <si>
    <t>PROVEEDOR</t>
  </si>
  <si>
    <t xml:space="preserve">GYM WOLF MC </t>
  </si>
  <si>
    <t>PEPS</t>
  </si>
  <si>
    <t>Dymatize ISO100 Hydrolyzed de (5 Lbs)</t>
  </si>
  <si>
    <t>QUETZAL</t>
  </si>
  <si>
    <t>PROVEDORES VARIOS</t>
  </si>
  <si>
    <t>ENTRADAS</t>
  </si>
  <si>
    <t>SALIDAS</t>
  </si>
  <si>
    <t>EXISTENCIA</t>
  </si>
  <si>
    <t>Fecha Descripción</t>
  </si>
  <si>
    <t>cantidad</t>
  </si>
  <si>
    <t>Costo U</t>
  </si>
  <si>
    <t>Costo total</t>
  </si>
  <si>
    <t>Proteina sabor Chocolate</t>
  </si>
  <si>
    <t>GYM WOLF MC</t>
  </si>
  <si>
    <t>MÉTODO DE EVALUCIÓN A UTILIZAR</t>
  </si>
  <si>
    <t>UEPS</t>
  </si>
  <si>
    <t xml:space="preserve">UNIDAD DE EVALUCIÓN </t>
  </si>
  <si>
    <t>PROVEDOR</t>
  </si>
  <si>
    <t>PROMEDIO</t>
  </si>
  <si>
    <t>ADQUIRIDA</t>
  </si>
  <si>
    <t>CONSUMIDA</t>
  </si>
  <si>
    <t>NO CONSUMIDA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</si>
</sst>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Q&quot;* #,##0.00_-;\-&quot;Q&quot;* #,##0.00_-;_-&quot;Q&quot;* &quot;-&quot;??_-;_-@_-"/>
    <numFmt numFmtId="164" formatCode="[$Q-100A]#,##0.00"/>
    <numFmt numFmtId="165" formatCode="_-[$Q-100A]* #,##0.00_-;\-[$Q-100A]* #,##0.00_-;_-[$Q-100A]* &quot;-&quot;??_-;_-@_-"/>
    <numFmt numFmtId="166" formatCode="&quot;Q&quot;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0" fillId="3" borderId="1" xfId="0" applyFill="1" applyBorder="1"/>
    <xf numFmtId="14" fontId="0" fillId="0" borderId="1" xfId="0" applyNumberFormat="1" applyBorder="1"/>
    <xf numFmtId="165" fontId="0" fillId="0" borderId="1" xfId="0" applyNumberFormat="1" applyBorder="1"/>
    <xf numFmtId="0" fontId="0" fillId="0" borderId="1" xfId="1" applyNumberFormat="1" applyFont="1" applyBorder="1"/>
    <xf numFmtId="14" fontId="0" fillId="2" borderId="1" xfId="0" applyNumberFormat="1" applyFill="1" applyBorder="1"/>
    <xf numFmtId="0" fontId="0" fillId="2" borderId="1" xfId="0" applyFill="1" applyBorder="1"/>
    <xf numFmtId="165" fontId="0" fillId="2" borderId="1" xfId="0" applyNumberFormat="1" applyFill="1" applyBorder="1"/>
    <xf numFmtId="166" fontId="0" fillId="0" borderId="1" xfId="0" applyNumberFormat="1" applyBorder="1"/>
    <xf numFmtId="0" fontId="3" fillId="3" borderId="1" xfId="0" applyFont="1" applyFill="1" applyBorder="1"/>
    <xf numFmtId="0" fontId="5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4" borderId="1" xfId="0" applyFont="1" applyFill="1" applyBorder="1"/>
    <xf numFmtId="0" fontId="3" fillId="5" borderId="1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0" fontId="0" fillId="5" borderId="1" xfId="0" applyFill="1" applyBorder="1"/>
    <xf numFmtId="165" fontId="0" fillId="5" borderId="1" xfId="0" applyNumberFormat="1" applyFill="1" applyBorder="1"/>
    <xf numFmtId="14" fontId="0" fillId="5" borderId="1" xfId="0" applyNumberFormat="1" applyFill="1" applyBorder="1"/>
    <xf numFmtId="166" fontId="0" fillId="5" borderId="1" xfId="0" applyNumberFormat="1" applyFill="1" applyBorder="1"/>
    <xf numFmtId="44" fontId="0" fillId="0" borderId="1" xfId="1" applyFont="1" applyBorder="1"/>
    <xf numFmtId="44" fontId="0" fillId="5" borderId="1" xfId="0" applyNumberFormat="1" applyFill="1" applyBorder="1"/>
    <xf numFmtId="44" fontId="0" fillId="0" borderId="1" xfId="0" applyNumberFormat="1" applyBorder="1"/>
    <xf numFmtId="0" fontId="8" fillId="4" borderId="1" xfId="0" applyFont="1" applyFill="1" applyBorder="1"/>
    <xf numFmtId="0" fontId="6" fillId="5" borderId="1" xfId="0" applyFont="1" applyFill="1" applyBorder="1"/>
    <xf numFmtId="0" fontId="8" fillId="6" borderId="1" xfId="0" applyFont="1" applyFill="1" applyBorder="1"/>
    <xf numFmtId="0" fontId="6" fillId="7" borderId="1" xfId="0" applyFont="1" applyFill="1" applyBorder="1"/>
    <xf numFmtId="0" fontId="4" fillId="6" borderId="1" xfId="0" applyFont="1" applyFill="1" applyBorder="1"/>
    <xf numFmtId="0" fontId="3" fillId="7" borderId="1" xfId="0" applyFont="1" applyFill="1" applyBorder="1" applyAlignment="1">
      <alignment horizontal="center"/>
    </xf>
    <xf numFmtId="164" fontId="3" fillId="7" borderId="1" xfId="0" applyNumberFormat="1" applyFont="1" applyFill="1" applyBorder="1" applyAlignment="1">
      <alignment horizontal="center"/>
    </xf>
    <xf numFmtId="14" fontId="0" fillId="7" borderId="1" xfId="0" applyNumberFormat="1" applyFill="1" applyBorder="1"/>
    <xf numFmtId="0" fontId="0" fillId="7" borderId="1" xfId="0" applyFill="1" applyBorder="1"/>
    <xf numFmtId="165" fontId="0" fillId="7" borderId="1" xfId="0" applyNumberFormat="1" applyFill="1" applyBorder="1"/>
    <xf numFmtId="164" fontId="2" fillId="4" borderId="1" xfId="0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4" fontId="2" fillId="6" borderId="1" xfId="0" applyNumberFormat="1" applyFont="1" applyFill="1" applyBorder="1" applyAlignment="1">
      <alignment horizontal="center"/>
    </xf>
    <xf numFmtId="44" fontId="0" fillId="2" borderId="1" xfId="1" applyFont="1" applyFill="1" applyBorder="1"/>
    <xf numFmtId="44" fontId="0" fillId="2" borderId="1" xfId="0" applyNumberFormat="1" applyFill="1" applyBorder="1"/>
    <xf numFmtId="44" fontId="0" fillId="5" borderId="1" xfId="1" applyFont="1" applyFill="1" applyBorder="1"/>
    <xf numFmtId="44" fontId="0" fillId="7" borderId="1" xfId="1" applyFont="1" applyFill="1" applyBorder="1"/>
    <xf numFmtId="44" fontId="0" fillId="7" borderId="1" xfId="0" applyNumberForma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</xdr:colOff>
      <xdr:row>7</xdr:row>
      <xdr:rowOff>166687</xdr:rowOff>
    </xdr:from>
    <xdr:to>
      <xdr:col>16</xdr:col>
      <xdr:colOff>761999</xdr:colOff>
      <xdr:row>36</xdr:row>
      <xdr:rowOff>171449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EA324DF1-0BB5-7AF5-9235-DFB6F17A8DCD}"/>
            </a:ext>
          </a:extLst>
        </xdr:cNvPr>
        <xdr:cNvSpPr/>
      </xdr:nvSpPr>
      <xdr:spPr>
        <a:xfrm>
          <a:off x="11644312" y="1252537"/>
          <a:ext cx="4567237" cy="5253037"/>
        </a:xfrm>
        <a:prstGeom prst="rect">
          <a:avLst/>
        </a:prstGeom>
        <a:blipFill dpi="0"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131973</xdr:colOff>
      <xdr:row>1</xdr:row>
      <xdr:rowOff>57380</xdr:rowOff>
    </xdr:from>
    <xdr:to>
      <xdr:col>16</xdr:col>
      <xdr:colOff>113191</xdr:colOff>
      <xdr:row>30</xdr:row>
      <xdr:rowOff>11598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DC975955-4699-4002-B0F0-1E6C81E419CF}"/>
            </a:ext>
          </a:extLst>
        </xdr:cNvPr>
        <xdr:cNvSpPr/>
      </xdr:nvSpPr>
      <xdr:spPr>
        <a:xfrm>
          <a:off x="11166055" y="240994"/>
          <a:ext cx="4560103" cy="5382321"/>
        </a:xfrm>
        <a:prstGeom prst="rect">
          <a:avLst/>
        </a:prstGeom>
        <a:blipFill dpi="0"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166688</xdr:colOff>
      <xdr:row>3</xdr:row>
      <xdr:rowOff>128587</xdr:rowOff>
    </xdr:from>
    <xdr:to>
      <xdr:col>16</xdr:col>
      <xdr:colOff>154791</xdr:colOff>
      <xdr:row>32</xdr:row>
      <xdr:rowOff>167383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49317A5-8049-4293-9BE3-385B734E0C16}"/>
            </a:ext>
          </a:extLst>
        </xdr:cNvPr>
        <xdr:cNvSpPr/>
      </xdr:nvSpPr>
      <xdr:spPr>
        <a:xfrm>
          <a:off x="11139488" y="671512"/>
          <a:ext cx="4560103" cy="5382321"/>
        </a:xfrm>
        <a:prstGeom prst="rect">
          <a:avLst/>
        </a:prstGeom>
        <a:blipFill dpi="0"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B4E07-901D-4AB9-BC26-36CE17F1B8CF}">
  <sheetPr>
    <tabColor theme="4" tint="0.39997558519241921"/>
  </sheetPr>
  <dimension ref="A2:J34"/>
  <sheetViews>
    <sheetView topLeftCell="A3" zoomScale="79" workbookViewId="0">
      <selection activeCell="H34" sqref="H34"/>
    </sheetView>
  </sheetViews>
  <sheetFormatPr baseColWidth="10" defaultRowHeight="14.25" x14ac:dyDescent="0.45"/>
  <cols>
    <col min="1" max="1" width="31.06640625" bestFit="1" customWidth="1"/>
    <col min="2" max="2" width="37.33203125" bestFit="1" customWidth="1"/>
    <col min="3" max="3" width="11.265625" customWidth="1"/>
    <col min="4" max="4" width="13.73046875" bestFit="1" customWidth="1"/>
    <col min="7" max="7" width="11.73046875" bestFit="1" customWidth="1"/>
    <col min="8" max="8" width="11.59765625" bestFit="1" customWidth="1"/>
    <col min="9" max="9" width="12.19921875" bestFit="1" customWidth="1"/>
    <col min="10" max="10" width="11.73046875" bestFit="1" customWidth="1"/>
  </cols>
  <sheetData>
    <row r="2" spans="1:10" x14ac:dyDescent="0.45">
      <c r="A2" s="12" t="s">
        <v>0</v>
      </c>
      <c r="B2" s="13" t="s">
        <v>5</v>
      </c>
    </row>
    <row r="3" spans="1:10" x14ac:dyDescent="0.45">
      <c r="A3" s="15" t="s">
        <v>1</v>
      </c>
      <c r="B3" s="16" t="s">
        <v>6</v>
      </c>
    </row>
    <row r="4" spans="1:10" ht="28.15" x14ac:dyDescent="0.45">
      <c r="A4" s="12" t="s">
        <v>2</v>
      </c>
      <c r="B4" s="13" t="s">
        <v>7</v>
      </c>
    </row>
    <row r="5" spans="1:10" x14ac:dyDescent="0.45">
      <c r="A5" s="15" t="s">
        <v>3</v>
      </c>
      <c r="B5" s="16" t="s">
        <v>8</v>
      </c>
    </row>
    <row r="6" spans="1:10" x14ac:dyDescent="0.45">
      <c r="A6" s="12" t="s">
        <v>4</v>
      </c>
      <c r="B6" s="14" t="s">
        <v>9</v>
      </c>
    </row>
    <row r="7" spans="1:10" x14ac:dyDescent="0.45">
      <c r="A7" s="17"/>
      <c r="B7" s="18"/>
    </row>
    <row r="8" spans="1:10" ht="15.75" x14ac:dyDescent="0.5">
      <c r="A8" s="40" t="s">
        <v>17</v>
      </c>
      <c r="B8" s="40"/>
      <c r="C8" s="40"/>
      <c r="D8" s="40"/>
      <c r="E8" s="40"/>
      <c r="F8" s="40"/>
      <c r="G8" s="40"/>
      <c r="H8" s="40"/>
      <c r="I8" s="40"/>
      <c r="J8" s="40"/>
    </row>
    <row r="9" spans="1:10" x14ac:dyDescent="0.45">
      <c r="A9" s="4"/>
      <c r="B9" s="41" t="s">
        <v>10</v>
      </c>
      <c r="C9" s="41"/>
      <c r="D9" s="41"/>
      <c r="E9" s="41" t="s">
        <v>11</v>
      </c>
      <c r="F9" s="41"/>
      <c r="G9" s="41"/>
      <c r="H9" s="41" t="s">
        <v>12</v>
      </c>
      <c r="I9" s="41"/>
      <c r="J9" s="41"/>
    </row>
    <row r="10" spans="1:10" x14ac:dyDescent="0.45">
      <c r="A10" s="2" t="s">
        <v>13</v>
      </c>
      <c r="B10" s="3" t="s">
        <v>14</v>
      </c>
      <c r="C10" s="3" t="s">
        <v>15</v>
      </c>
      <c r="D10" s="3" t="s">
        <v>16</v>
      </c>
      <c r="E10" s="3" t="s">
        <v>14</v>
      </c>
      <c r="F10" s="3" t="s">
        <v>15</v>
      </c>
      <c r="G10" s="3" t="s">
        <v>16</v>
      </c>
      <c r="H10" s="3" t="s">
        <v>14</v>
      </c>
      <c r="I10" s="3" t="s">
        <v>15</v>
      </c>
      <c r="J10" s="3" t="s">
        <v>16</v>
      </c>
    </row>
    <row r="11" spans="1:10" x14ac:dyDescent="0.45">
      <c r="A11" s="5">
        <v>46174</v>
      </c>
      <c r="B11" s="1">
        <v>20</v>
      </c>
      <c r="C11" s="6">
        <f>850/1.12</f>
        <v>758.92857142857133</v>
      </c>
      <c r="D11" s="6">
        <f>B11*C11</f>
        <v>15178.571428571428</v>
      </c>
      <c r="E11" s="7"/>
      <c r="F11" s="6"/>
      <c r="G11" s="6"/>
      <c r="H11" s="7">
        <f>B11</f>
        <v>20</v>
      </c>
      <c r="I11" s="6">
        <f>C11</f>
        <v>758.92857142857133</v>
      </c>
      <c r="J11" s="6">
        <f>D11</f>
        <v>15178.571428571428</v>
      </c>
    </row>
    <row r="12" spans="1:10" x14ac:dyDescent="0.45">
      <c r="A12" s="8">
        <v>46175</v>
      </c>
      <c r="B12" s="9"/>
      <c r="C12" s="10"/>
      <c r="D12" s="10"/>
      <c r="E12" s="9">
        <v>12</v>
      </c>
      <c r="F12" s="10">
        <f>I11</f>
        <v>758.92857142857133</v>
      </c>
      <c r="G12" s="10">
        <f>F12*E12</f>
        <v>9107.1428571428551</v>
      </c>
      <c r="H12" s="9">
        <f>H11-E12</f>
        <v>8</v>
      </c>
      <c r="I12" s="10">
        <f>I11</f>
        <v>758.92857142857133</v>
      </c>
      <c r="J12" s="10">
        <f>I12*H12</f>
        <v>6071.4285714285706</v>
      </c>
    </row>
    <row r="13" spans="1:10" x14ac:dyDescent="0.45">
      <c r="A13" s="5">
        <v>46181</v>
      </c>
      <c r="B13" s="1">
        <v>15</v>
      </c>
      <c r="C13" s="6">
        <f>890/1.12</f>
        <v>794.64285714285711</v>
      </c>
      <c r="D13" s="6">
        <f>C13*B13</f>
        <v>11919.642857142857</v>
      </c>
      <c r="E13" s="1"/>
      <c r="F13" s="1"/>
      <c r="G13" s="1"/>
      <c r="H13" s="1">
        <f>H12</f>
        <v>8</v>
      </c>
      <c r="I13" s="6">
        <f>I12</f>
        <v>758.92857142857133</v>
      </c>
      <c r="J13" s="6">
        <f>J12</f>
        <v>6071.4285714285706</v>
      </c>
    </row>
    <row r="14" spans="1:10" x14ac:dyDescent="0.45">
      <c r="A14" s="9"/>
      <c r="B14" s="9"/>
      <c r="C14" s="9"/>
      <c r="D14" s="9"/>
      <c r="E14" s="9"/>
      <c r="F14" s="9"/>
      <c r="G14" s="9"/>
      <c r="H14" s="9">
        <f>B13</f>
        <v>15</v>
      </c>
      <c r="I14" s="10">
        <f>C13</f>
        <v>794.64285714285711</v>
      </c>
      <c r="J14" s="10">
        <f>D13</f>
        <v>11919.642857142857</v>
      </c>
    </row>
    <row r="15" spans="1:10" x14ac:dyDescent="0.45">
      <c r="A15" s="5">
        <v>46184</v>
      </c>
      <c r="B15" s="1">
        <v>18</v>
      </c>
      <c r="C15" s="26">
        <f>830/1.12</f>
        <v>741.07142857142856</v>
      </c>
      <c r="D15" s="26">
        <f>B15*C15</f>
        <v>13339.285714285714</v>
      </c>
      <c r="E15" s="1"/>
      <c r="F15" s="1"/>
      <c r="G15" s="1"/>
      <c r="H15" s="1">
        <v>8</v>
      </c>
      <c r="I15" s="6">
        <f>I12</f>
        <v>758.92857142857133</v>
      </c>
      <c r="J15" s="6">
        <f>H15*I15</f>
        <v>6071.4285714285706</v>
      </c>
    </row>
    <row r="16" spans="1:10" x14ac:dyDescent="0.45">
      <c r="A16" s="9"/>
      <c r="B16" s="9"/>
      <c r="C16" s="9"/>
      <c r="D16" s="9"/>
      <c r="E16" s="9"/>
      <c r="F16" s="9"/>
      <c r="G16" s="9"/>
      <c r="H16" s="9">
        <v>15</v>
      </c>
      <c r="I16" s="10">
        <f>I14</f>
        <v>794.64285714285711</v>
      </c>
      <c r="J16" s="10">
        <f>H16*I16</f>
        <v>11919.642857142857</v>
      </c>
    </row>
    <row r="17" spans="1:10" x14ac:dyDescent="0.45">
      <c r="A17" s="1"/>
      <c r="B17" s="1"/>
      <c r="C17" s="1"/>
      <c r="D17" s="1"/>
      <c r="E17" s="1"/>
      <c r="F17" s="1"/>
      <c r="G17" s="1"/>
      <c r="H17" s="1">
        <v>18</v>
      </c>
      <c r="I17" s="26">
        <f>C15</f>
        <v>741.07142857142856</v>
      </c>
      <c r="J17" s="26">
        <f>H17*I17</f>
        <v>13339.285714285714</v>
      </c>
    </row>
    <row r="18" spans="1:10" x14ac:dyDescent="0.45">
      <c r="A18" s="8">
        <v>46185</v>
      </c>
      <c r="B18" s="9">
        <v>16</v>
      </c>
      <c r="C18" s="43">
        <f>860/1.12</f>
        <v>767.85714285714278</v>
      </c>
      <c r="D18" s="43">
        <f>B18*C18</f>
        <v>12285.714285714284</v>
      </c>
      <c r="E18" s="9"/>
      <c r="F18" s="9"/>
      <c r="G18" s="9"/>
      <c r="H18" s="9">
        <v>8</v>
      </c>
      <c r="I18" s="10">
        <f>I15</f>
        <v>758.92857142857133</v>
      </c>
      <c r="J18" s="10">
        <f>J15</f>
        <v>6071.4285714285706</v>
      </c>
    </row>
    <row r="19" spans="1:10" x14ac:dyDescent="0.45">
      <c r="A19" s="1"/>
      <c r="B19" s="1"/>
      <c r="C19" s="1"/>
      <c r="D19" s="1"/>
      <c r="E19" s="1"/>
      <c r="F19" s="1"/>
      <c r="G19" s="1"/>
      <c r="H19" s="1">
        <v>15</v>
      </c>
      <c r="I19" s="6">
        <f>I16</f>
        <v>794.64285714285711</v>
      </c>
      <c r="J19" s="6">
        <f>J16</f>
        <v>11919.642857142857</v>
      </c>
    </row>
    <row r="20" spans="1:10" x14ac:dyDescent="0.45">
      <c r="A20" s="9"/>
      <c r="B20" s="9"/>
      <c r="C20" s="9"/>
      <c r="D20" s="9"/>
      <c r="E20" s="9"/>
      <c r="F20" s="9"/>
      <c r="G20" s="9"/>
      <c r="H20" s="9">
        <v>18</v>
      </c>
      <c r="I20" s="44">
        <f>I17</f>
        <v>741.07142857142856</v>
      </c>
      <c r="J20" s="44">
        <f>J17</f>
        <v>13339.285714285714</v>
      </c>
    </row>
    <row r="21" spans="1:10" x14ac:dyDescent="0.45">
      <c r="A21" s="1"/>
      <c r="B21" s="1"/>
      <c r="C21" s="1"/>
      <c r="D21" s="1"/>
      <c r="E21" s="1"/>
      <c r="F21" s="1"/>
      <c r="G21" s="1"/>
      <c r="H21" s="1">
        <v>16</v>
      </c>
      <c r="I21" s="28">
        <f>C18</f>
        <v>767.85714285714278</v>
      </c>
      <c r="J21" s="28">
        <f>D18</f>
        <v>12285.714285714284</v>
      </c>
    </row>
    <row r="22" spans="1:10" x14ac:dyDescent="0.45">
      <c r="A22" s="8">
        <v>46188</v>
      </c>
      <c r="B22" s="9"/>
      <c r="C22" s="9"/>
      <c r="D22" s="9"/>
      <c r="E22" s="9">
        <v>8</v>
      </c>
      <c r="F22" s="10">
        <f>I15</f>
        <v>758.92857142857133</v>
      </c>
      <c r="G22" s="10">
        <f>J15</f>
        <v>6071.4285714285706</v>
      </c>
      <c r="H22" s="9"/>
      <c r="I22" s="9"/>
      <c r="J22" s="9"/>
    </row>
    <row r="23" spans="1:10" x14ac:dyDescent="0.45">
      <c r="A23" s="1"/>
      <c r="B23" s="1"/>
      <c r="C23" s="1"/>
      <c r="D23" s="1"/>
      <c r="E23" s="1">
        <v>2</v>
      </c>
      <c r="F23" s="6">
        <f>C13</f>
        <v>794.64285714285711</v>
      </c>
      <c r="G23" s="6">
        <f>E23*F23</f>
        <v>1589.2857142857142</v>
      </c>
      <c r="H23" s="1">
        <v>13</v>
      </c>
      <c r="I23" s="6">
        <f>F23</f>
        <v>794.64285714285711</v>
      </c>
      <c r="J23" s="6">
        <f>I23*H23</f>
        <v>10330.357142857143</v>
      </c>
    </row>
    <row r="24" spans="1:10" x14ac:dyDescent="0.45">
      <c r="A24" s="9"/>
      <c r="B24" s="9"/>
      <c r="C24" s="9"/>
      <c r="D24" s="9"/>
      <c r="E24" s="9"/>
      <c r="F24" s="9"/>
      <c r="G24" s="9"/>
      <c r="H24" s="9">
        <v>18</v>
      </c>
      <c r="I24" s="44">
        <f>I17</f>
        <v>741.07142857142856</v>
      </c>
      <c r="J24" s="44">
        <f>H24*I24</f>
        <v>13339.285714285714</v>
      </c>
    </row>
    <row r="25" spans="1:10" x14ac:dyDescent="0.45">
      <c r="A25" s="1"/>
      <c r="B25" s="1"/>
      <c r="C25" s="1"/>
      <c r="D25" s="1"/>
      <c r="E25" s="1"/>
      <c r="F25" s="1"/>
      <c r="G25" s="1"/>
      <c r="H25" s="1">
        <v>16</v>
      </c>
      <c r="I25" s="28">
        <f>I21</f>
        <v>767.85714285714278</v>
      </c>
      <c r="J25" s="28">
        <f>H25*I25</f>
        <v>12285.714285714284</v>
      </c>
    </row>
    <row r="26" spans="1:10" x14ac:dyDescent="0.45">
      <c r="A26" s="8">
        <v>46189</v>
      </c>
      <c r="B26" s="9"/>
      <c r="C26" s="9"/>
      <c r="D26" s="9"/>
      <c r="E26" s="9">
        <v>10</v>
      </c>
      <c r="F26" s="10">
        <f>F23</f>
        <v>794.64285714285711</v>
      </c>
      <c r="G26" s="10">
        <f>E26*F26</f>
        <v>7946.4285714285706</v>
      </c>
      <c r="H26" s="9">
        <v>3</v>
      </c>
      <c r="I26" s="10">
        <f>F26</f>
        <v>794.64285714285711</v>
      </c>
      <c r="J26" s="10">
        <f>H26*I26</f>
        <v>2383.9285714285716</v>
      </c>
    </row>
    <row r="27" spans="1:10" x14ac:dyDescent="0.45">
      <c r="A27" s="1"/>
      <c r="B27" s="1"/>
      <c r="C27" s="1"/>
      <c r="D27" s="1"/>
      <c r="E27" s="1"/>
      <c r="F27" s="1"/>
      <c r="G27" s="1"/>
      <c r="H27" s="1">
        <v>18</v>
      </c>
      <c r="I27" s="28">
        <f>I24</f>
        <v>741.07142857142856</v>
      </c>
      <c r="J27" s="28">
        <f>J24</f>
        <v>13339.285714285714</v>
      </c>
    </row>
    <row r="28" spans="1:10" x14ac:dyDescent="0.45">
      <c r="A28" s="9"/>
      <c r="B28" s="9"/>
      <c r="C28" s="9"/>
      <c r="D28" s="9"/>
      <c r="E28" s="9"/>
      <c r="F28" s="9"/>
      <c r="G28" s="9"/>
      <c r="H28" s="9">
        <v>16</v>
      </c>
      <c r="I28" s="44">
        <f>I25</f>
        <v>767.85714285714278</v>
      </c>
      <c r="J28" s="44">
        <f>H28*I28</f>
        <v>12285.714285714284</v>
      </c>
    </row>
    <row r="29" spans="1:10" x14ac:dyDescent="0.45">
      <c r="A29" s="5">
        <v>46201</v>
      </c>
      <c r="B29" s="1"/>
      <c r="C29" s="1"/>
      <c r="D29" s="1"/>
      <c r="E29" s="1">
        <v>3</v>
      </c>
      <c r="F29" s="6">
        <f>F26</f>
        <v>794.64285714285711</v>
      </c>
      <c r="G29" s="6">
        <f>E29*F29</f>
        <v>2383.9285714285716</v>
      </c>
      <c r="H29" s="1"/>
      <c r="I29" s="1"/>
      <c r="J29" s="1"/>
    </row>
    <row r="30" spans="1:10" x14ac:dyDescent="0.45">
      <c r="A30" s="9"/>
      <c r="B30" s="9"/>
      <c r="C30" s="9"/>
      <c r="D30" s="9"/>
      <c r="E30" s="9">
        <v>5</v>
      </c>
      <c r="F30" s="44">
        <f>I24</f>
        <v>741.07142857142856</v>
      </c>
      <c r="G30" s="44">
        <f>E30*F30</f>
        <v>3705.3571428571427</v>
      </c>
      <c r="H30" s="9">
        <v>13</v>
      </c>
      <c r="I30" s="44">
        <f>F30</f>
        <v>741.07142857142856</v>
      </c>
      <c r="J30" s="44">
        <f>H30*I30</f>
        <v>9633.9285714285706</v>
      </c>
    </row>
    <row r="31" spans="1:10" x14ac:dyDescent="0.45">
      <c r="A31" s="1"/>
      <c r="B31" s="1"/>
      <c r="C31" s="1"/>
      <c r="D31" s="1"/>
      <c r="E31" s="1"/>
      <c r="F31" s="1"/>
      <c r="G31" s="1"/>
      <c r="H31" s="1">
        <v>16</v>
      </c>
      <c r="I31" s="28">
        <f>I25</f>
        <v>767.85714285714278</v>
      </c>
      <c r="J31" s="28">
        <f>H31*I31</f>
        <v>12285.714285714284</v>
      </c>
    </row>
    <row r="33" spans="1:5" x14ac:dyDescent="0.45">
      <c r="A33" s="4" t="s">
        <v>6</v>
      </c>
      <c r="B33" s="4" t="s">
        <v>24</v>
      </c>
      <c r="C33" s="4" t="s">
        <v>25</v>
      </c>
      <c r="D33" s="4" t="s">
        <v>26</v>
      </c>
      <c r="E33" s="4"/>
    </row>
    <row r="34" spans="1:5" x14ac:dyDescent="0.45">
      <c r="A34" s="9"/>
      <c r="B34" s="10">
        <f>SUM(D11,D13,D15,D18)</f>
        <v>52723.214285714283</v>
      </c>
      <c r="C34" s="10">
        <f>SUM(G12,G22,G23,G26,G29,G30)</f>
        <v>30803.571428571424</v>
      </c>
      <c r="D34" s="44">
        <f>SUM(J30+J31)</f>
        <v>21919.642857142855</v>
      </c>
      <c r="E34" s="9"/>
    </row>
  </sheetData>
  <mergeCells count="4">
    <mergeCell ref="A8:J8"/>
    <mergeCell ref="B9:D9"/>
    <mergeCell ref="E9:G9"/>
    <mergeCell ref="H9:J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CBA78-9FC4-4EFE-84F6-2F870FD530D6}">
  <sheetPr>
    <tabColor theme="6" tint="-0.499984740745262"/>
  </sheetPr>
  <dimension ref="A2:J33"/>
  <sheetViews>
    <sheetView zoomScale="83" workbookViewId="0">
      <selection activeCell="H31" sqref="H31"/>
    </sheetView>
  </sheetViews>
  <sheetFormatPr baseColWidth="10" defaultRowHeight="14.25" x14ac:dyDescent="0.45"/>
  <cols>
    <col min="1" max="1" width="32.9296875" bestFit="1" customWidth="1"/>
    <col min="2" max="2" width="36.06640625" bestFit="1" customWidth="1"/>
    <col min="3" max="3" width="10.73046875" bestFit="1" customWidth="1"/>
    <col min="4" max="4" width="13.59765625" bestFit="1" customWidth="1"/>
    <col min="10" max="10" width="11.265625" bestFit="1" customWidth="1"/>
  </cols>
  <sheetData>
    <row r="2" spans="1:10" ht="15.75" x14ac:dyDescent="0.5">
      <c r="A2" s="29" t="s">
        <v>0</v>
      </c>
      <c r="B2" s="29" t="s">
        <v>18</v>
      </c>
    </row>
    <row r="3" spans="1:10" ht="15.75" x14ac:dyDescent="0.5">
      <c r="A3" s="30" t="s">
        <v>19</v>
      </c>
      <c r="B3" s="30" t="s">
        <v>20</v>
      </c>
    </row>
    <row r="4" spans="1:10" ht="15.75" x14ac:dyDescent="0.5">
      <c r="A4" s="29" t="s">
        <v>21</v>
      </c>
      <c r="B4" s="29" t="s">
        <v>7</v>
      </c>
    </row>
    <row r="5" spans="1:10" ht="15.75" x14ac:dyDescent="0.5">
      <c r="A5" s="30" t="s">
        <v>3</v>
      </c>
      <c r="B5" s="30" t="s">
        <v>8</v>
      </c>
    </row>
    <row r="6" spans="1:10" ht="15.75" x14ac:dyDescent="0.5">
      <c r="A6" s="29" t="s">
        <v>22</v>
      </c>
      <c r="B6" s="29" t="s">
        <v>9</v>
      </c>
    </row>
    <row r="8" spans="1:10" x14ac:dyDescent="0.45">
      <c r="A8" s="19"/>
      <c r="B8" s="39" t="s">
        <v>10</v>
      </c>
      <c r="C8" s="39"/>
      <c r="D8" s="39"/>
      <c r="E8" s="39" t="s">
        <v>11</v>
      </c>
      <c r="F8" s="39"/>
      <c r="G8" s="39"/>
      <c r="H8" s="39" t="s">
        <v>12</v>
      </c>
      <c r="I8" s="39"/>
      <c r="J8" s="39"/>
    </row>
    <row r="9" spans="1:10" x14ac:dyDescent="0.45">
      <c r="A9" s="20" t="s">
        <v>13</v>
      </c>
      <c r="B9" s="21" t="s">
        <v>14</v>
      </c>
      <c r="C9" s="21" t="s">
        <v>15</v>
      </c>
      <c r="D9" s="21" t="s">
        <v>16</v>
      </c>
      <c r="E9" s="21" t="s">
        <v>14</v>
      </c>
      <c r="F9" s="21" t="s">
        <v>15</v>
      </c>
      <c r="G9" s="21" t="s">
        <v>16</v>
      </c>
      <c r="H9" s="21" t="s">
        <v>14</v>
      </c>
      <c r="I9" s="21" t="s">
        <v>15</v>
      </c>
      <c r="J9" s="21" t="s">
        <v>16</v>
      </c>
    </row>
    <row r="10" spans="1:10" x14ac:dyDescent="0.45">
      <c r="A10" s="5">
        <v>46174</v>
      </c>
      <c r="B10" s="1">
        <v>20</v>
      </c>
      <c r="C10" s="11">
        <f>850/1.12</f>
        <v>758.92857142857133</v>
      </c>
      <c r="D10" s="11">
        <f>C10*B10</f>
        <v>15178.571428571428</v>
      </c>
      <c r="E10" s="1"/>
      <c r="F10" s="1"/>
      <c r="G10" s="1"/>
      <c r="H10" s="1">
        <v>20</v>
      </c>
      <c r="I10" s="11">
        <f>C10</f>
        <v>758.92857142857133</v>
      </c>
      <c r="J10" s="11">
        <f>D10</f>
        <v>15178.571428571428</v>
      </c>
    </row>
    <row r="11" spans="1:10" x14ac:dyDescent="0.45">
      <c r="A11" s="24">
        <v>46175</v>
      </c>
      <c r="B11" s="22"/>
      <c r="C11" s="22"/>
      <c r="D11" s="22"/>
      <c r="E11" s="22">
        <v>12</v>
      </c>
      <c r="F11" s="25">
        <f>C10</f>
        <v>758.92857142857133</v>
      </c>
      <c r="G11" s="25">
        <f>E11*F11</f>
        <v>9107.1428571428551</v>
      </c>
      <c r="H11" s="22">
        <v>8</v>
      </c>
      <c r="I11" s="25">
        <f>F11</f>
        <v>758.92857142857133</v>
      </c>
      <c r="J11" s="25">
        <f>I11*H11</f>
        <v>6071.4285714285706</v>
      </c>
    </row>
    <row r="12" spans="1:10" x14ac:dyDescent="0.45">
      <c r="A12" s="5">
        <v>46181</v>
      </c>
      <c r="B12" s="1">
        <v>15</v>
      </c>
      <c r="C12" s="6">
        <f>890/1.12</f>
        <v>794.64285714285711</v>
      </c>
      <c r="D12" s="6">
        <f>C12*B12</f>
        <v>11919.642857142857</v>
      </c>
      <c r="E12" s="1"/>
      <c r="F12" s="1"/>
      <c r="G12" s="1"/>
      <c r="H12" s="1">
        <f>H11</f>
        <v>8</v>
      </c>
      <c r="I12" s="6">
        <f>I11</f>
        <v>758.92857142857133</v>
      </c>
      <c r="J12" s="6">
        <f>J11</f>
        <v>6071.4285714285706</v>
      </c>
    </row>
    <row r="13" spans="1:10" x14ac:dyDescent="0.45">
      <c r="A13" s="24"/>
      <c r="B13" s="22"/>
      <c r="C13" s="22"/>
      <c r="D13" s="22"/>
      <c r="E13" s="22"/>
      <c r="F13" s="22"/>
      <c r="G13" s="22"/>
      <c r="H13" s="22">
        <f>B12</f>
        <v>15</v>
      </c>
      <c r="I13" s="23">
        <f>C12</f>
        <v>794.64285714285711</v>
      </c>
      <c r="J13" s="23">
        <f>D12</f>
        <v>11919.642857142857</v>
      </c>
    </row>
    <row r="14" spans="1:10" x14ac:dyDescent="0.45">
      <c r="A14" s="5">
        <v>46184</v>
      </c>
      <c r="B14" s="1">
        <v>18</v>
      </c>
      <c r="C14" s="26">
        <f>830/1.12</f>
        <v>741.07142857142856</v>
      </c>
      <c r="D14" s="26">
        <f>B14*C14</f>
        <v>13339.285714285714</v>
      </c>
      <c r="E14" s="1"/>
      <c r="F14" s="1"/>
      <c r="G14" s="1"/>
      <c r="H14" s="1">
        <f>H11</f>
        <v>8</v>
      </c>
      <c r="I14" s="6">
        <f>I12</f>
        <v>758.92857142857133</v>
      </c>
      <c r="J14" s="6">
        <f>J12</f>
        <v>6071.4285714285706</v>
      </c>
    </row>
    <row r="15" spans="1:10" x14ac:dyDescent="0.45">
      <c r="A15" s="22"/>
      <c r="B15" s="22"/>
      <c r="C15" s="22"/>
      <c r="D15" s="22"/>
      <c r="E15" s="22"/>
      <c r="F15" s="22"/>
      <c r="G15" s="22"/>
      <c r="H15" s="22">
        <v>15</v>
      </c>
      <c r="I15" s="23">
        <f>I13</f>
        <v>794.64285714285711</v>
      </c>
      <c r="J15" s="23">
        <f>I15*H15</f>
        <v>11919.642857142857</v>
      </c>
    </row>
    <row r="16" spans="1:10" x14ac:dyDescent="0.45">
      <c r="A16" s="1"/>
      <c r="B16" s="1"/>
      <c r="C16" s="1"/>
      <c r="D16" s="1"/>
      <c r="E16" s="1"/>
      <c r="F16" s="1"/>
      <c r="G16" s="1"/>
      <c r="H16" s="1">
        <v>18</v>
      </c>
      <c r="I16" s="28">
        <f>C14</f>
        <v>741.07142857142856</v>
      </c>
      <c r="J16" s="28">
        <f>I16*H16</f>
        <v>13339.285714285714</v>
      </c>
    </row>
    <row r="17" spans="1:10" x14ac:dyDescent="0.45">
      <c r="A17" s="24">
        <v>46185</v>
      </c>
      <c r="B17" s="22">
        <v>16</v>
      </c>
      <c r="C17" s="45">
        <f>860/1.12</f>
        <v>767.85714285714278</v>
      </c>
      <c r="D17" s="45">
        <f>B17*C17</f>
        <v>12285.714285714284</v>
      </c>
      <c r="E17" s="22"/>
      <c r="F17" s="22"/>
      <c r="G17" s="22"/>
      <c r="H17" s="22">
        <f>H14</f>
        <v>8</v>
      </c>
      <c r="I17" s="23">
        <f>I14</f>
        <v>758.92857142857133</v>
      </c>
      <c r="J17" s="23">
        <f>J14</f>
        <v>6071.4285714285706</v>
      </c>
    </row>
    <row r="18" spans="1:10" x14ac:dyDescent="0.45">
      <c r="A18" s="5"/>
      <c r="B18" s="1"/>
      <c r="C18" s="28"/>
      <c r="D18" s="28"/>
      <c r="E18" s="1"/>
      <c r="F18" s="1"/>
      <c r="G18" s="1"/>
      <c r="H18" s="1">
        <v>15</v>
      </c>
      <c r="I18" s="6">
        <f>I15</f>
        <v>794.64285714285711</v>
      </c>
      <c r="J18" s="6">
        <f>I18*H18</f>
        <v>11919.642857142857</v>
      </c>
    </row>
    <row r="19" spans="1:10" x14ac:dyDescent="0.45">
      <c r="A19" s="22"/>
      <c r="B19" s="22"/>
      <c r="C19" s="22"/>
      <c r="D19" s="22"/>
      <c r="E19" s="22"/>
      <c r="F19" s="22"/>
      <c r="G19" s="22"/>
      <c r="H19" s="22">
        <v>18</v>
      </c>
      <c r="I19" s="27">
        <f>I16</f>
        <v>741.07142857142856</v>
      </c>
      <c r="J19" s="27">
        <f>I19*H19</f>
        <v>13339.285714285714</v>
      </c>
    </row>
    <row r="20" spans="1:10" x14ac:dyDescent="0.45">
      <c r="A20" s="1"/>
      <c r="B20" s="1"/>
      <c r="C20" s="1"/>
      <c r="D20" s="1"/>
      <c r="E20" s="1"/>
      <c r="F20" s="1"/>
      <c r="G20" s="1"/>
      <c r="H20" s="1">
        <v>16</v>
      </c>
      <c r="I20" s="26">
        <f>C17</f>
        <v>767.85714285714278</v>
      </c>
      <c r="J20" s="26">
        <f>H20*I20</f>
        <v>12285.714285714284</v>
      </c>
    </row>
    <row r="21" spans="1:10" x14ac:dyDescent="0.45">
      <c r="A21" s="24">
        <v>46188</v>
      </c>
      <c r="B21" s="22"/>
      <c r="C21" s="22"/>
      <c r="D21" s="22"/>
      <c r="E21" s="22">
        <v>10</v>
      </c>
      <c r="F21" s="27">
        <f>C17</f>
        <v>767.85714285714278</v>
      </c>
      <c r="G21" s="27">
        <f>E21*F21</f>
        <v>7678.5714285714275</v>
      </c>
      <c r="H21" s="22">
        <v>8</v>
      </c>
      <c r="I21" s="23">
        <f>I17</f>
        <v>758.92857142857133</v>
      </c>
      <c r="J21" s="23">
        <f>H21*I21</f>
        <v>6071.4285714285706</v>
      </c>
    </row>
    <row r="22" spans="1:10" x14ac:dyDescent="0.45">
      <c r="A22" s="1"/>
      <c r="B22" s="1"/>
      <c r="C22" s="1"/>
      <c r="D22" s="1"/>
      <c r="E22" s="1"/>
      <c r="F22" s="1"/>
      <c r="G22" s="1"/>
      <c r="H22" s="1">
        <v>15</v>
      </c>
      <c r="I22" s="6">
        <f>I18</f>
        <v>794.64285714285711</v>
      </c>
      <c r="J22" s="6">
        <f>I22*H22</f>
        <v>11919.642857142857</v>
      </c>
    </row>
    <row r="23" spans="1:10" x14ac:dyDescent="0.45">
      <c r="A23" s="22"/>
      <c r="B23" s="22"/>
      <c r="C23" s="22"/>
      <c r="D23" s="22"/>
      <c r="E23" s="22"/>
      <c r="F23" s="22"/>
      <c r="G23" s="22"/>
      <c r="H23" s="22">
        <v>18</v>
      </c>
      <c r="I23" s="27">
        <f>I19</f>
        <v>741.07142857142856</v>
      </c>
      <c r="J23" s="27">
        <f>I23*H23</f>
        <v>13339.285714285714</v>
      </c>
    </row>
    <row r="24" spans="1:10" x14ac:dyDescent="0.45">
      <c r="A24" s="1"/>
      <c r="B24" s="1"/>
      <c r="C24" s="1"/>
      <c r="D24" s="1"/>
      <c r="E24" s="1"/>
      <c r="F24" s="1"/>
      <c r="G24" s="1"/>
      <c r="H24" s="1">
        <v>6</v>
      </c>
      <c r="I24" s="28">
        <f>F21</f>
        <v>767.85714285714278</v>
      </c>
      <c r="J24" s="28">
        <f>H24*I24</f>
        <v>4607.1428571428569</v>
      </c>
    </row>
    <row r="25" spans="1:10" x14ac:dyDescent="0.45">
      <c r="A25" s="24">
        <v>46189</v>
      </c>
      <c r="B25" s="22"/>
      <c r="C25" s="22"/>
      <c r="D25" s="22"/>
      <c r="E25" s="22">
        <v>6</v>
      </c>
      <c r="F25" s="27">
        <f>I24</f>
        <v>767.85714285714278</v>
      </c>
      <c r="G25" s="27">
        <f>E25*F25</f>
        <v>4607.1428571428569</v>
      </c>
      <c r="H25" s="22">
        <v>8</v>
      </c>
      <c r="I25" s="23">
        <f>I21</f>
        <v>758.92857142857133</v>
      </c>
      <c r="J25" s="23">
        <f>H25*I25</f>
        <v>6071.4285714285706</v>
      </c>
    </row>
    <row r="26" spans="1:10" x14ac:dyDescent="0.45">
      <c r="A26" s="1"/>
      <c r="B26" s="1"/>
      <c r="C26" s="1"/>
      <c r="D26" s="1"/>
      <c r="E26" s="1">
        <v>4</v>
      </c>
      <c r="F26" s="28">
        <f>I23</f>
        <v>741.07142857142856</v>
      </c>
      <c r="G26" s="28">
        <f>E26*F26</f>
        <v>2964.2857142857142</v>
      </c>
      <c r="H26" s="1">
        <v>15</v>
      </c>
      <c r="I26" s="6">
        <f>I22</f>
        <v>794.64285714285711</v>
      </c>
      <c r="J26" s="6">
        <f>H26*I26</f>
        <v>11919.642857142857</v>
      </c>
    </row>
    <row r="27" spans="1:10" x14ac:dyDescent="0.45">
      <c r="A27" s="22"/>
      <c r="B27" s="22"/>
      <c r="C27" s="22"/>
      <c r="D27" s="22"/>
      <c r="E27" s="22"/>
      <c r="F27" s="22"/>
      <c r="G27" s="22"/>
      <c r="H27" s="22">
        <v>14</v>
      </c>
      <c r="I27" s="27">
        <f>F26</f>
        <v>741.07142857142856</v>
      </c>
      <c r="J27" s="27">
        <f>H27*I27</f>
        <v>10375</v>
      </c>
    </row>
    <row r="28" spans="1:10" x14ac:dyDescent="0.45">
      <c r="A28" s="5">
        <v>46201</v>
      </c>
      <c r="B28" s="1"/>
      <c r="C28" s="1"/>
      <c r="D28" s="1"/>
      <c r="E28" s="1">
        <v>8</v>
      </c>
      <c r="F28" s="28">
        <f>F26</f>
        <v>741.07142857142856</v>
      </c>
      <c r="G28" s="28">
        <f>E28*F28</f>
        <v>5928.5714285714284</v>
      </c>
      <c r="H28" s="1">
        <v>8</v>
      </c>
      <c r="I28" s="6">
        <f>I25</f>
        <v>758.92857142857133</v>
      </c>
      <c r="J28" s="6">
        <f>I28*H28</f>
        <v>6071.4285714285706</v>
      </c>
    </row>
    <row r="29" spans="1:10" x14ac:dyDescent="0.45">
      <c r="A29" s="22"/>
      <c r="B29" s="22"/>
      <c r="C29" s="22"/>
      <c r="D29" s="22"/>
      <c r="E29" s="22"/>
      <c r="F29" s="22"/>
      <c r="G29" s="22"/>
      <c r="H29" s="22">
        <f>H26</f>
        <v>15</v>
      </c>
      <c r="I29" s="23">
        <f>I26</f>
        <v>794.64285714285711</v>
      </c>
      <c r="J29" s="23">
        <f>H29*I29</f>
        <v>11919.642857142857</v>
      </c>
    </row>
    <row r="30" spans="1:10" x14ac:dyDescent="0.45">
      <c r="A30" s="1"/>
      <c r="B30" s="1"/>
      <c r="C30" s="1"/>
      <c r="D30" s="1"/>
      <c r="E30" s="1"/>
      <c r="F30" s="1"/>
      <c r="G30" s="1"/>
      <c r="H30" s="1">
        <v>6</v>
      </c>
      <c r="I30" s="28">
        <f>F28</f>
        <v>741.07142857142856</v>
      </c>
      <c r="J30" s="28">
        <f>H30*I30</f>
        <v>4446.4285714285716</v>
      </c>
    </row>
    <row r="32" spans="1:10" x14ac:dyDescent="0.45">
      <c r="A32" s="19" t="s">
        <v>20</v>
      </c>
      <c r="B32" s="19" t="s">
        <v>24</v>
      </c>
      <c r="C32" s="19" t="s">
        <v>25</v>
      </c>
      <c r="D32" s="19" t="s">
        <v>26</v>
      </c>
      <c r="E32" s="19"/>
    </row>
    <row r="33" spans="1:5" x14ac:dyDescent="0.45">
      <c r="A33" s="22"/>
      <c r="B33" s="25">
        <f>SUM(D10,D12,D14,D17)</f>
        <v>52723.214285714283</v>
      </c>
      <c r="C33" s="25">
        <f>SUM(G11,G21,G25,G26,G28)</f>
        <v>30285.714285714279</v>
      </c>
      <c r="D33" s="23">
        <f>SUM(J28,J29,J30)</f>
        <v>22437.5</v>
      </c>
      <c r="E33" s="22"/>
    </row>
  </sheetData>
  <mergeCells count="3">
    <mergeCell ref="B8:D8"/>
    <mergeCell ref="E8:G8"/>
    <mergeCell ref="H8:J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CEFD7-AD75-4E9B-889B-01A009549AFD}">
  <sheetPr>
    <tabColor theme="3" tint="9.9978637043366805E-2"/>
  </sheetPr>
  <dimension ref="A5:J24"/>
  <sheetViews>
    <sheetView tabSelected="1" zoomScale="78" workbookViewId="0">
      <selection activeCell="G24" sqref="G24"/>
    </sheetView>
  </sheetViews>
  <sheetFormatPr baseColWidth="10" defaultRowHeight="14.25" x14ac:dyDescent="0.45"/>
  <cols>
    <col min="1" max="1" width="32.3984375" bestFit="1" customWidth="1"/>
    <col min="2" max="2" width="35.19921875" bestFit="1" customWidth="1"/>
    <col min="3" max="3" width="11.46484375" bestFit="1" customWidth="1"/>
    <col min="4" max="4" width="13.9296875" bestFit="1" customWidth="1"/>
    <col min="10" max="10" width="11.265625" bestFit="1" customWidth="1"/>
  </cols>
  <sheetData>
    <row r="5" spans="1:10" ht="15.75" x14ac:dyDescent="0.5">
      <c r="A5" s="31" t="s">
        <v>0</v>
      </c>
      <c r="B5" s="31" t="s">
        <v>18</v>
      </c>
    </row>
    <row r="6" spans="1:10" ht="15.75" x14ac:dyDescent="0.5">
      <c r="A6" s="32" t="s">
        <v>19</v>
      </c>
      <c r="B6" s="32" t="s">
        <v>23</v>
      </c>
    </row>
    <row r="7" spans="1:10" ht="15.75" x14ac:dyDescent="0.5">
      <c r="A7" s="31" t="s">
        <v>21</v>
      </c>
      <c r="B7" s="31" t="s">
        <v>7</v>
      </c>
    </row>
    <row r="8" spans="1:10" ht="15.75" x14ac:dyDescent="0.5">
      <c r="A8" s="32" t="s">
        <v>3</v>
      </c>
      <c r="B8" s="32" t="s">
        <v>8</v>
      </c>
    </row>
    <row r="9" spans="1:10" ht="15.75" x14ac:dyDescent="0.5">
      <c r="A9" s="31" t="s">
        <v>22</v>
      </c>
      <c r="B9" s="31" t="s">
        <v>9</v>
      </c>
    </row>
    <row r="11" spans="1:10" x14ac:dyDescent="0.45">
      <c r="A11" s="33"/>
      <c r="B11" s="42" t="s">
        <v>10</v>
      </c>
      <c r="C11" s="42"/>
      <c r="D11" s="42"/>
      <c r="E11" s="42" t="s">
        <v>11</v>
      </c>
      <c r="F11" s="42"/>
      <c r="G11" s="42"/>
      <c r="H11" s="42" t="s">
        <v>12</v>
      </c>
      <c r="I11" s="42"/>
      <c r="J11" s="42"/>
    </row>
    <row r="12" spans="1:10" x14ac:dyDescent="0.45">
      <c r="A12" s="34" t="s">
        <v>13</v>
      </c>
      <c r="B12" s="35" t="s">
        <v>14</v>
      </c>
      <c r="C12" s="35" t="s">
        <v>15</v>
      </c>
      <c r="D12" s="35" t="s">
        <v>16</v>
      </c>
      <c r="E12" s="35" t="s">
        <v>14</v>
      </c>
      <c r="F12" s="35" t="s">
        <v>15</v>
      </c>
      <c r="G12" s="35" t="s">
        <v>16</v>
      </c>
      <c r="H12" s="35" t="s">
        <v>14</v>
      </c>
      <c r="I12" s="35" t="s">
        <v>15</v>
      </c>
      <c r="J12" s="35" t="s">
        <v>16</v>
      </c>
    </row>
    <row r="13" spans="1:10" x14ac:dyDescent="0.45">
      <c r="A13" s="5">
        <v>46174</v>
      </c>
      <c r="B13" s="1">
        <v>20</v>
      </c>
      <c r="C13" s="26">
        <f>850/1.12</f>
        <v>758.92857142857133</v>
      </c>
      <c r="D13" s="26">
        <f>B13*C13</f>
        <v>15178.571428571428</v>
      </c>
      <c r="E13" s="1"/>
      <c r="F13" s="1"/>
      <c r="G13" s="1"/>
      <c r="H13" s="1">
        <v>20</v>
      </c>
      <c r="I13" s="28">
        <f>C13</f>
        <v>758.92857142857133</v>
      </c>
      <c r="J13" s="28">
        <f>D13</f>
        <v>15178.571428571428</v>
      </c>
    </row>
    <row r="14" spans="1:10" x14ac:dyDescent="0.45">
      <c r="A14" s="36">
        <v>46175</v>
      </c>
      <c r="B14" s="37"/>
      <c r="C14" s="38"/>
      <c r="D14" s="38"/>
      <c r="E14" s="37">
        <v>12</v>
      </c>
      <c r="F14" s="38">
        <f>I13</f>
        <v>758.92857142857133</v>
      </c>
      <c r="G14" s="38">
        <f>F14*E14</f>
        <v>9107.1428571428551</v>
      </c>
      <c r="H14" s="37">
        <f>H13-E14</f>
        <v>8</v>
      </c>
      <c r="I14" s="38">
        <f>I13</f>
        <v>758.92857142857133</v>
      </c>
      <c r="J14" s="38">
        <f>I14*H14</f>
        <v>6071.4285714285706</v>
      </c>
    </row>
    <row r="15" spans="1:10" x14ac:dyDescent="0.45">
      <c r="A15" s="5">
        <v>46181</v>
      </c>
      <c r="B15" s="1">
        <v>15</v>
      </c>
      <c r="C15" s="6">
        <f>890/1.12</f>
        <v>794.64285714285711</v>
      </c>
      <c r="D15" s="6">
        <f>C15*B15</f>
        <v>11919.642857142857</v>
      </c>
      <c r="E15" s="1"/>
      <c r="F15" s="1"/>
      <c r="G15" s="1"/>
      <c r="H15" s="1">
        <v>23</v>
      </c>
      <c r="I15" s="6">
        <f>(D15+J14)/(8+15)</f>
        <v>782.22049689440985</v>
      </c>
      <c r="J15" s="6">
        <f>H15*I15</f>
        <v>17991.071428571428</v>
      </c>
    </row>
    <row r="16" spans="1:10" x14ac:dyDescent="0.45">
      <c r="A16" s="36">
        <v>46184</v>
      </c>
      <c r="B16" s="37">
        <v>18</v>
      </c>
      <c r="C16" s="46">
        <f>830/1.12</f>
        <v>741.07142857142856</v>
      </c>
      <c r="D16" s="46">
        <f>B16*C16</f>
        <v>13339.285714285714</v>
      </c>
      <c r="E16" s="37"/>
      <c r="F16" s="38"/>
      <c r="G16" s="38"/>
      <c r="H16" s="37">
        <f>SUM(18+H15)</f>
        <v>41</v>
      </c>
      <c r="I16" s="38">
        <f>(J15+D16)/H16</f>
        <v>764.15505226480832</v>
      </c>
      <c r="J16" s="38">
        <f>H16*I16</f>
        <v>31330.357142857141</v>
      </c>
    </row>
    <row r="17" spans="1:10" x14ac:dyDescent="0.45">
      <c r="A17" s="5">
        <v>46185</v>
      </c>
      <c r="B17" s="1">
        <v>16</v>
      </c>
      <c r="C17" s="26">
        <f>860/1.12</f>
        <v>767.85714285714278</v>
      </c>
      <c r="D17" s="26">
        <f>B17*C17</f>
        <v>12285.714285714284</v>
      </c>
      <c r="E17" s="1"/>
      <c r="F17" s="6"/>
      <c r="G17" s="6"/>
      <c r="H17" s="1">
        <f>H16+16</f>
        <v>57</v>
      </c>
      <c r="I17" s="6">
        <f>(J16+D17)/H17</f>
        <v>765.19423558897245</v>
      </c>
      <c r="J17" s="6">
        <f>H17*I17</f>
        <v>43616.071428571428</v>
      </c>
    </row>
    <row r="18" spans="1:10" x14ac:dyDescent="0.45">
      <c r="A18" s="36">
        <v>46188</v>
      </c>
      <c r="B18" s="37"/>
      <c r="C18" s="37"/>
      <c r="D18" s="37"/>
      <c r="E18" s="37">
        <v>10</v>
      </c>
      <c r="F18" s="38">
        <f>I17</f>
        <v>765.19423558897245</v>
      </c>
      <c r="G18" s="38">
        <f>E18*F18</f>
        <v>7651.9423558897242</v>
      </c>
      <c r="H18" s="37">
        <f>H17-E18</f>
        <v>47</v>
      </c>
      <c r="I18" s="38">
        <f>I17</f>
        <v>765.19423558897245</v>
      </c>
      <c r="J18" s="38">
        <f>H18*I18</f>
        <v>35964.129072681702</v>
      </c>
    </row>
    <row r="19" spans="1:10" x14ac:dyDescent="0.45">
      <c r="A19" s="5">
        <v>46189</v>
      </c>
      <c r="B19" s="1"/>
      <c r="C19" s="1"/>
      <c r="D19" s="1"/>
      <c r="E19" s="1">
        <v>10</v>
      </c>
      <c r="F19" s="6">
        <f>F18</f>
        <v>765.19423558897245</v>
      </c>
      <c r="G19" s="6">
        <f>E19*F19</f>
        <v>7651.9423558897242</v>
      </c>
      <c r="H19" s="1">
        <f>H18-E19</f>
        <v>37</v>
      </c>
      <c r="I19" s="6">
        <f>I18</f>
        <v>765.19423558897245</v>
      </c>
      <c r="J19" s="6">
        <f>H19*I19</f>
        <v>28312.186716791981</v>
      </c>
    </row>
    <row r="20" spans="1:10" x14ac:dyDescent="0.45">
      <c r="A20" s="36">
        <v>46201</v>
      </c>
      <c r="B20" s="37"/>
      <c r="C20" s="37"/>
      <c r="D20" s="37"/>
      <c r="E20" s="37">
        <v>8</v>
      </c>
      <c r="F20" s="38">
        <f>F19</f>
        <v>765.19423558897245</v>
      </c>
      <c r="G20" s="38">
        <f>E20*F20</f>
        <v>6121.5538847117796</v>
      </c>
      <c r="H20" s="37">
        <f>H19-E20</f>
        <v>29</v>
      </c>
      <c r="I20" s="38">
        <f>I19</f>
        <v>765.19423558897245</v>
      </c>
      <c r="J20" s="38">
        <f>I20*H20</f>
        <v>22190.632832080202</v>
      </c>
    </row>
    <row r="23" spans="1:10" x14ac:dyDescent="0.45">
      <c r="A23" s="33" t="s">
        <v>23</v>
      </c>
      <c r="B23" s="33" t="s">
        <v>24</v>
      </c>
      <c r="C23" s="33" t="s">
        <v>25</v>
      </c>
      <c r="D23" s="33" t="s">
        <v>26</v>
      </c>
      <c r="E23" s="33"/>
    </row>
    <row r="24" spans="1:10" x14ac:dyDescent="0.45">
      <c r="A24" s="37"/>
      <c r="B24" s="47">
        <f>SUM(D13,D15,D16,D17)</f>
        <v>52723.214285714283</v>
      </c>
      <c r="C24" s="38">
        <f>SUM(G14,G18,G19,G20)</f>
        <v>30532.581453634084</v>
      </c>
      <c r="D24" s="38">
        <f>SUM(J20)</f>
        <v>22190.632832080202</v>
      </c>
      <c r="E24" s="37"/>
    </row>
  </sheetData>
  <mergeCells count="3">
    <mergeCell ref="B11:D11"/>
    <mergeCell ref="E11:G11"/>
    <mergeCell ref="H11:J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PEPS</vt:lpstr>
      <vt:lpstr>UEPS</vt:lpstr>
      <vt:lpstr>PROMEDIO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Antonio Guamuch Ortíz</dc:creator>
  <cp:lastModifiedBy>Angelo Antonio Guamuch Ortíz</cp:lastModifiedBy>
  <dcterms:created xsi:type="dcterms:W3CDTF">2026-08-06T18:24:31Z</dcterms:created>
  <dcterms:modified xsi:type="dcterms:W3CDTF">2026-08-07T04:02:34Z</dcterms:modified>
</cp:coreProperties>
</file>