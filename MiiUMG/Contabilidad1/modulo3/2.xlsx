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6"/>
  <workbookPr/>
  <mc:AlternateContent xmlns:mc="http://schemas.openxmlformats.org/markup-compatibility/2006">
    <mc:Choice Requires="x15">
      <x15ac:absPath xmlns:x15ac="http://schemas.microsoft.com/office/spreadsheetml/2010/11/ac" url="C:\Users\milub\Documents\UMG\2026\CONTABILIDAD\TODO\"/>
    </mc:Choice>
  </mc:AlternateContent>
  <xr:revisionPtr revIDLastSave="0" documentId="8_{1FC6AD83-7B26-425B-B6E5-0E25AA3A1FD7}" xr6:coauthVersionLast="47" xr6:coauthVersionMax="47" xr10:uidLastSave="{00000000-0000-0000-0000-000000000000}"/>
  <bookViews>
    <workbookView xWindow="0" yWindow="0" windowWidth="15348" windowHeight="4632" firstSheet="7" activeTab="7" xr2:uid="{00000000-000D-0000-FFFF-FFFF00000000}"/>
  </bookViews>
  <sheets>
    <sheet name="Inventario" sheetId="1" r:id="rId1"/>
    <sheet name="Balance" sheetId="3" r:id="rId2"/>
    <sheet name="Diario" sheetId="4" r:id="rId3"/>
    <sheet name="C" sheetId="6" r:id="rId4"/>
    <sheet name="MAYOR " sheetId="7" r:id="rId5"/>
    <sheet name="Comprobacion" sheetId="8" r:id="rId6"/>
    <sheet name="Hoja1" sheetId="9" r:id="rId7"/>
    <sheet name="Hoja2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7" l="1"/>
  <c r="G22" i="8"/>
  <c r="G7" i="8"/>
  <c r="C59" i="4"/>
  <c r="D124" i="4"/>
  <c r="C124" i="4"/>
  <c r="D99" i="4"/>
  <c r="D65" i="4"/>
  <c r="D53" i="4"/>
  <c r="C53" i="4"/>
  <c r="D48" i="4"/>
  <c r="C48" i="4"/>
  <c r="D44" i="4"/>
  <c r="C44" i="4"/>
  <c r="D40" i="4"/>
  <c r="C40" i="4"/>
  <c r="D27" i="4"/>
  <c r="C27" i="4"/>
  <c r="D21" i="4"/>
  <c r="C21" i="4"/>
  <c r="H29" i="3"/>
  <c r="H22" i="3"/>
  <c r="H21" i="3"/>
  <c r="H16" i="3"/>
  <c r="H30" i="3"/>
  <c r="H31" i="3" s="1"/>
  <c r="H3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</authors>
  <commentList>
    <comment ref="E2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sin iva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  <author>tc={917488C9-6F51-487B-BECB-8B6AACBBE501}</author>
  </authors>
  <commentList>
    <comment ref="D2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sin iva</t>
        </r>
      </text>
    </comment>
    <comment ref="C3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Paso 3</t>
        </r>
      </text>
    </comment>
    <comment ref="C36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Paso 2</t>
        </r>
      </text>
    </comment>
    <comment ref="D37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paso 1</t>
        </r>
      </text>
    </comment>
    <comment ref="D38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paso 4</t>
        </r>
      </text>
    </comment>
    <comment ref="C79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=1569x.05 la comisión da 1647.45 sin iva 1470.9375 el IVA de 1470,93 son 176.51 y sobre eso el 15% según art. 3 ley antievasión fiscal</t>
        </r>
      </text>
    </comment>
    <comment ref="C112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9184 sin iva 8200 el IVA es de 984 el 15% de 984 147.6 y el 5% de 8200 son 410 a caja entran 9184 - 147.6 y - 410</t>
        </r>
      </text>
    </comment>
    <comment ref="D130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TOTAL SUELDOS 35262.31 MENOS INCLUIDO CUENTAS PATRONALES Y ANTICIPO DE 200 =29934.81</t>
        </r>
      </text>
    </comment>
    <comment ref="D13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16500+12800= 29300*4.83%= 1415.19+290.55+1621.76= 5127.5</t>
        </r>
      </text>
    </comment>
    <comment ref="C132" authorId="1" shapeId="0" xr:uid="{917488C9-6F51-487B-BECB-8B6AACBBE501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4.87  %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tc={2E10B230-AD50-4012-9837-ACAB29114624}</author>
    <author>tc={A97ED5D4-029D-4ADD-9B7F-3E85F3BBF738}</author>
    <author>tc={732FFA69-48BB-45BE-833A-809072EFD5EC}</author>
    <author>tc={3CBA150D-D3D3-464D-826E-BC3C9E4EB5A3}</author>
    <author>tc={19BFA94F-5C48-429E-B576-71879E6C65CD}</author>
  </authors>
  <commentList>
    <comment ref="K4" authorId="0" shapeId="0" xr:uid="{2E10B230-AD50-4012-9837-ACAB29114624}">
      <text>
        <t>[Threaded comment]
Your version of Excel allows you to read this threaded comment; however, any edits to it will get removed if the file is opened in a newer version of Excel. Learn more: https://go.microsoft.com/fwlink/?linkid=870924
Comment:
    Se toman de todas las cuentas que generen perdidas o gancias
Reply:
    se toman del mayor</t>
      </text>
    </comment>
    <comment ref="M4" authorId="1" shapeId="0" xr:uid="{A97ED5D4-029D-4ADD-9B7F-3E85F3BBF7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solo evaluar que active y pasivo
</t>
      </text>
    </comment>
    <comment ref="L9" authorId="2" shapeId="0" xr:uid="{732FFA69-48BB-45BE-833A-809072EFD5E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utiliza restando ventas a mercaderias en el libro mayor
</t>
      </text>
    </comment>
    <comment ref="M9" authorId="3" shapeId="0" xr:uid="{3CBA150D-D3D3-464D-826E-BC3C9E4EB5A3}">
      <text>
        <t>[Threaded comment]
Your version of Excel allows you to read this threaded comment; however, any edits to it will get removed if the file is opened in a newer version of Excel. Learn more: https://go.microsoft.com/fwlink/?linkid=870924
Comment:
    aqui colocamos lo restante en el de comprobacion</t>
      </text>
    </comment>
    <comment ref="B47" authorId="4" shapeId="0" xr:uid="{19BFA94F-5C48-429E-B576-71879E6C65CD}">
      <text>
        <t>[Threaded comment]
Your version of Excel allows you to read this threaded comment; however, any edits to it will get removed if the file is opened in a newer version of Excel. Learn more: https://go.microsoft.com/fwlink/?linkid=870924
Comment:
    se saca de retar de ganancia a perdida</t>
      </text>
    </comment>
  </commentList>
</comments>
</file>

<file path=xl/sharedStrings.xml><?xml version="1.0" encoding="utf-8"?>
<sst xmlns="http://schemas.openxmlformats.org/spreadsheetml/2006/main" count="1891" uniqueCount="581">
  <si>
    <t>Ejrcicio No. 2 Libro de inventarios</t>
  </si>
  <si>
    <t>Inventario No. 1 del Almacén Universal</t>
  </si>
  <si>
    <t>Practicado al 01 de enero de 2026</t>
  </si>
  <si>
    <t>ACTIVO</t>
  </si>
  <si>
    <t xml:space="preserve">Corriente </t>
  </si>
  <si>
    <t>Dispoinible</t>
  </si>
  <si>
    <t>Caja</t>
  </si>
  <si>
    <t>Billetes</t>
  </si>
  <si>
    <t>Monedas</t>
  </si>
  <si>
    <t>Bancos</t>
  </si>
  <si>
    <t>Cuenta No.3-4370057-2 delBanco el Águila, S.A</t>
  </si>
  <si>
    <t>Cuenta No. -8956430-4 del Banco el Condor S,A</t>
  </si>
  <si>
    <t>Resumen</t>
  </si>
  <si>
    <t> </t>
  </si>
  <si>
    <t xml:space="preserve">Exigible </t>
  </si>
  <si>
    <t xml:space="preserve">IVA </t>
  </si>
  <si>
    <t xml:space="preserve"> Q             4.484,50</t>
  </si>
  <si>
    <t>12 % de 70305.50 segun facturas de poder de la empresa</t>
  </si>
  <si>
    <t xml:space="preserve"> Q         104.520,00</t>
  </si>
  <si>
    <t xml:space="preserve">Realizable </t>
  </si>
  <si>
    <t>IVA</t>
  </si>
  <si>
    <t xml:space="preserve"> Q             8.436,66</t>
  </si>
  <si>
    <t xml:space="preserve">Mercaderias </t>
  </si>
  <si>
    <t>Mercaderias</t>
  </si>
  <si>
    <t xml:space="preserve"> Q           49.767,50</t>
  </si>
  <si>
    <t>Pantalones marca coral</t>
  </si>
  <si>
    <t>Material de Empaque</t>
  </si>
  <si>
    <t xml:space="preserve"> Q             1.036,00</t>
  </si>
  <si>
    <t>Talla grande Q.60.25</t>
  </si>
  <si>
    <t>Mobiliario y equipo</t>
  </si>
  <si>
    <t xml:space="preserve"> Q           14.433,00</t>
  </si>
  <si>
    <t>Talla mediana Q.54.75 c/u</t>
  </si>
  <si>
    <t>Gastos de Organizacion</t>
  </si>
  <si>
    <t xml:space="preserve"> Q             2.750,00</t>
  </si>
  <si>
    <t>Talla pequeña Q.40.50</t>
  </si>
  <si>
    <t>Proveedores</t>
  </si>
  <si>
    <t xml:space="preserve"> Q           20.000,00</t>
  </si>
  <si>
    <t>Camisas marca tucan</t>
  </si>
  <si>
    <t>Documentos por pagar a corto plazo</t>
  </si>
  <si>
    <t xml:space="preserve"> Q             3.000,00</t>
  </si>
  <si>
    <t>Talla grande Q.41.75 c/u</t>
  </si>
  <si>
    <t>ISR Retenido por pagar sobre compras</t>
  </si>
  <si>
    <t xml:space="preserve"> Q                 721,65</t>
  </si>
  <si>
    <t>Talla  mediana Q37.00 c/u</t>
  </si>
  <si>
    <t>ISR Retenido por pagar sobre facturas especiales</t>
  </si>
  <si>
    <t xml:space="preserve"> Q                   70,00</t>
  </si>
  <si>
    <t>Talla pequena Q.32.50 c/u</t>
  </si>
  <si>
    <t>IVA Retenido por pagar sobre facturas especiales</t>
  </si>
  <si>
    <t xml:space="preserve"> Q                 168,00</t>
  </si>
  <si>
    <t>Calcetines marca pelicano</t>
  </si>
  <si>
    <t>Patrimonio Neto</t>
  </si>
  <si>
    <t xml:space="preserve"> Q         166.173,01</t>
  </si>
  <si>
    <t>Pares talla grandes Q7.50 c/u</t>
  </si>
  <si>
    <t>Suma del Pasivo y Patrimonio Neto</t>
  </si>
  <si>
    <t xml:space="preserve"> Q         190.132,66</t>
  </si>
  <si>
    <t>Pares talla mediana  Q 6.25 c/u</t>
  </si>
  <si>
    <t>Pares talla pequeña Q 5.00 c/u</t>
  </si>
  <si>
    <t xml:space="preserve">Calzoncillo marca Varenta </t>
  </si>
  <si>
    <t>Grandes Q22.50 c/u</t>
  </si>
  <si>
    <t>Medianos Q 18.00 c/u</t>
  </si>
  <si>
    <t xml:space="preserve">Camisetas marca Vareta </t>
  </si>
  <si>
    <t>Grandes Q26.50c/u</t>
  </si>
  <si>
    <t>Medianos Q 24.25 c/u</t>
  </si>
  <si>
    <t>Pequeñas Q 22.75</t>
  </si>
  <si>
    <t>Billetas marca Lagarto</t>
  </si>
  <si>
    <t>Cuero lino Q 35,00  c/u</t>
  </si>
  <si>
    <t>Imitacin de cuero Q 25.75 c/u</t>
  </si>
  <si>
    <t xml:space="preserve">Cinchos marca Cocodrilo </t>
  </si>
  <si>
    <t>Talla grande Q 32,50c/u</t>
  </si>
  <si>
    <t>Talla mediana Q 25.25c/u</t>
  </si>
  <si>
    <t>Talla pequeña Q 23.75c/u</t>
  </si>
  <si>
    <t>Pañuelos marca gacela</t>
  </si>
  <si>
    <t>Diferentes colores Q 12.75 c/u</t>
  </si>
  <si>
    <t>Material de empaque</t>
  </si>
  <si>
    <t>bolsas de de plastico con nombre 0.28 c/u</t>
  </si>
  <si>
    <t>Cajas de carton Q 5.60 c/u</t>
  </si>
  <si>
    <t xml:space="preserve">Rollos de cinta adhesiva  Q2.80 c/u </t>
  </si>
  <si>
    <t>Rollos de pita de amare  Q84,00</t>
  </si>
  <si>
    <t xml:space="preserve">NO corriente </t>
  </si>
  <si>
    <t xml:space="preserve">Mobiliario y equipo </t>
  </si>
  <si>
    <t>Mostradores de aluminio con vidrio c/u Q 790,25</t>
  </si>
  <si>
    <t>Estantes Q580 c/u</t>
  </si>
  <si>
    <t xml:space="preserve">Caja registradora 4.580 c/u </t>
  </si>
  <si>
    <t>Escritorios secretariales de madera  650</t>
  </si>
  <si>
    <t>Escritorios ejecutivos de metay metal 719.64c/u</t>
  </si>
  <si>
    <t>Sillas giratorias de metal y esponja 525,75c/u</t>
  </si>
  <si>
    <t>Equipo de computaacion</t>
  </si>
  <si>
    <t>GPU marca LG Q 51.74 c/u</t>
  </si>
  <si>
    <t xml:space="preserve">Impresora Lex Q580 c/u </t>
  </si>
  <si>
    <t xml:space="preserve">Gastos de organizacion </t>
  </si>
  <si>
    <t xml:space="preserve"> recibo No. 43672 de Registro Mercantil por inscripcion de comerciante y empresa </t>
  </si>
  <si>
    <t>timbre fiscal para la Patente de Comerci</t>
  </si>
  <si>
    <t>6 libros de contabilidad se
habilitaron en forma computarizada, boleta SAT- 2000 Formulari SAT- 7121 No. 45 140 089 559</t>
  </si>
  <si>
    <t xml:space="preserve">Autorizacion de empresa </t>
  </si>
  <si>
    <t xml:space="preserve">Incripcion de  empresa </t>
  </si>
  <si>
    <t>Suma del activo</t>
  </si>
  <si>
    <t>PASIVO</t>
  </si>
  <si>
    <t>Corriente</t>
  </si>
  <si>
    <t xml:space="preserve">Proveedores </t>
  </si>
  <si>
    <t>Distrobuidora el catrin, S.A</t>
  </si>
  <si>
    <t>Distribuidora el la mejor S.A</t>
  </si>
  <si>
    <t xml:space="preserve">Documentos por pagar a corto plazo </t>
  </si>
  <si>
    <t xml:space="preserve">Letras de pago  a favor de distribuidora gaviotas Q1000 c/u </t>
  </si>
  <si>
    <t xml:space="preserve">ISR retenido por pagar sobre compras </t>
  </si>
  <si>
    <t xml:space="preserve">5% de Q.14433.00 retenido sobre las factura No&gt; 12784 de  Distribuidora las gaviotas </t>
  </si>
  <si>
    <t xml:space="preserve">ISR retenido por pagar sobre facturas especiales </t>
  </si>
  <si>
    <t>5% de Q1400.   retenido sobre la factura No. 001 a nombre de Epifano Perez</t>
  </si>
  <si>
    <t xml:space="preserve">Iva retenido por pagar sobre facturas especiales </t>
  </si>
  <si>
    <t>12% de 1.400 rtenido sobre la factura especial No. 001  nombre de Epifano Perez</t>
  </si>
  <si>
    <t>Suma del pasivo</t>
  </si>
  <si>
    <t>190,132,66</t>
  </si>
  <si>
    <t>De conformidad con los datos anterioresm el Patrimoinio Neto del Almacen el Universal, propiedad del se;or Epson Canon Talishte asciende a la cantidad de ciento noventa mil ciento treinta y dos con sesenta y seis centavos Q190,132.66</t>
  </si>
  <si>
    <t>F:</t>
  </si>
  <si>
    <t>Eddy Boch</t>
  </si>
  <si>
    <t>Perito Contador</t>
  </si>
  <si>
    <t>Indalecio Blanco M.</t>
  </si>
  <si>
    <t>Propietario</t>
  </si>
  <si>
    <t>Nombre del Contador</t>
  </si>
  <si>
    <t>Perito Contador Nit:</t>
  </si>
  <si>
    <t>Faustino Cárdenas</t>
  </si>
  <si>
    <t>Leer Art. 373 y 374 Cod. Comercio  Decreto 2-70</t>
  </si>
  <si>
    <t>BALANCE EN FORMA DE REPORTE(haya a doble folio pero trabajaremos en forma de reporte)</t>
  </si>
  <si>
    <t>LIBRO DE ESTADOS FINANCEROS</t>
  </si>
  <si>
    <t>BALANCE DE SITUACIÓN GENERAL DE APERTURA AL 01 DE ENERO DE 2026</t>
  </si>
  <si>
    <t>CIFRAS EN QUETZALES</t>
  </si>
  <si>
    <t>Libro de Balance de situación General de apertura al 01 de febrero de 2019</t>
  </si>
  <si>
    <t>Disponible</t>
  </si>
  <si>
    <t xml:space="preserve">Bancos </t>
  </si>
  <si>
    <t xml:space="preserve">Exibigle </t>
  </si>
  <si>
    <t>Iva</t>
  </si>
  <si>
    <t xml:space="preserve">No corriente </t>
  </si>
  <si>
    <t>Equpo de computacion</t>
  </si>
  <si>
    <t xml:space="preserve">Gastos de Organizacion </t>
  </si>
  <si>
    <t xml:space="preserve">Suma del Activo </t>
  </si>
  <si>
    <t>Pasivo</t>
  </si>
  <si>
    <t xml:space="preserve">proveedores </t>
  </si>
  <si>
    <t>ISR retenido por pagas sobre compras</t>
  </si>
  <si>
    <t xml:space="preserve">Iva retendio por pagar sobre facturas especiales </t>
  </si>
  <si>
    <t>Suma del Pasivo</t>
  </si>
  <si>
    <t>Suma del pasivo y Patrimonio neto</t>
  </si>
  <si>
    <t>01 de enero de 2026</t>
  </si>
  <si>
    <t>Indalecio Blanco Moreno</t>
  </si>
  <si>
    <t>Nota: El balance de situación General de apertura anterior se estructuró de acuerdo</t>
  </si>
  <si>
    <t xml:space="preserve">con  el grado de liquidez de la empresa y en forma de tres elementos, balance de </t>
  </si>
  <si>
    <t>situación general de reporte: Activo, Pasivo y Patrimonio.</t>
  </si>
  <si>
    <t>LIbro De Diario del Almacen el Universal</t>
  </si>
  <si>
    <t>Practicado del 01 al 31 de enero de 2026</t>
  </si>
  <si>
    <t>Cifras en Quetzales</t>
  </si>
  <si>
    <t>PDA1</t>
  </si>
  <si>
    <t>Dia 1</t>
  </si>
  <si>
    <t xml:space="preserve">Caja </t>
  </si>
  <si>
    <t xml:space="preserve">Materias de empaque </t>
  </si>
  <si>
    <t xml:space="preserve">Equipo de computacion </t>
  </si>
  <si>
    <t>ISR retenido por pagar sobre facturas especiales</t>
  </si>
  <si>
    <t xml:space="preserve">IVA retido por pagar sobre facturas especiales </t>
  </si>
  <si>
    <t>Patrimonio neto</t>
  </si>
  <si>
    <t xml:space="preserve">Valores y obligaciones con que inicia sus operaciones mercaniles, almacen el Universal segun, balance de situacion general de apertura a esta fecha </t>
  </si>
  <si>
    <t>Dia3</t>
  </si>
  <si>
    <t>PDA2</t>
  </si>
  <si>
    <t xml:space="preserve">Ventas </t>
  </si>
  <si>
    <t>Factura No. 01 al No. 015</t>
  </si>
  <si>
    <t>Dia5</t>
  </si>
  <si>
    <t>PDA3</t>
  </si>
  <si>
    <t xml:space="preserve">Proveedoes </t>
  </si>
  <si>
    <t>Cheques No.1 y No.02 Banco el condorm S.A a nombre de Distruibuidoras el ¨Catrin, S,A´´ y la ¨Mejor S.A´´ por nuestra deuda, recibo de Caja No. 41 y 42</t>
  </si>
  <si>
    <t>Dia 7</t>
  </si>
  <si>
    <t>PDA4</t>
  </si>
  <si>
    <t xml:space="preserve">Clientes </t>
  </si>
  <si>
    <t>ISR retenido por acreditar sobre ventas</t>
  </si>
  <si>
    <t>Ventas (sin iva)</t>
  </si>
  <si>
    <t xml:space="preserve">Factura NO. 0019 a cargo de feliciano xitumul </t>
  </si>
  <si>
    <t>Dia 9</t>
  </si>
  <si>
    <t>PDA5</t>
  </si>
  <si>
    <t>Comprobante No.01 al banco ¨El Aguila S.A¨</t>
  </si>
  <si>
    <t>Dia 11</t>
  </si>
  <si>
    <t>PDA6</t>
  </si>
  <si>
    <t xml:space="preserve">Mercaderias en consignacion </t>
  </si>
  <si>
    <t xml:space="preserve">ventas por realizar </t>
  </si>
  <si>
    <t xml:space="preserve">Nota de translado N.0 1 al Almacen Venus </t>
  </si>
  <si>
    <t>PDA7</t>
  </si>
  <si>
    <t>Dia13</t>
  </si>
  <si>
    <t xml:space="preserve">Compras </t>
  </si>
  <si>
    <t xml:space="preserve">Iva cobrar </t>
  </si>
  <si>
    <t>FACTURA No. 8780 de dist.¨El catrin¨. S.A</t>
  </si>
  <si>
    <t>PDA8</t>
  </si>
  <si>
    <t>Dia 15</t>
  </si>
  <si>
    <t>Devoluciones y rebajas sobre ventas</t>
  </si>
  <si>
    <t>De las mercaderías que se le vendieron al crédito el día 7</t>
  </si>
  <si>
    <t>PDA9</t>
  </si>
  <si>
    <t>Dia 17</t>
  </si>
  <si>
    <t xml:space="preserve">ventas </t>
  </si>
  <si>
    <t>Iva por pagar</t>
  </si>
  <si>
    <t xml:space="preserve">Se vendieron al público mercaderias al contado </t>
  </si>
  <si>
    <t>PDA10</t>
  </si>
  <si>
    <t>Dia 19</t>
  </si>
  <si>
    <t xml:space="preserve">Anticipos sobre sueldos </t>
  </si>
  <si>
    <t>Se le concedió un anticipo en efectivo al mensajero de la empresa, Luvelino
Pocasangre, recibo No.01.</t>
  </si>
  <si>
    <t>PDA11</t>
  </si>
  <si>
    <t>Dia 21</t>
  </si>
  <si>
    <t>Preveedores</t>
  </si>
  <si>
    <t>Devoluciones y rebajas sobre compras</t>
  </si>
  <si>
    <t xml:space="preserve">Iva </t>
  </si>
  <si>
    <t>De las mercaderías compradas a Distribuidora El Catrín, S. A.</t>
  </si>
  <si>
    <t>PDA12</t>
  </si>
  <si>
    <t>Dia 22</t>
  </si>
  <si>
    <t>Cuentas por cobrar con tarjeta de debito</t>
  </si>
  <si>
    <t>ventas</t>
  </si>
  <si>
    <t>Se vendieron a Distribuidora el Roble  con tarjeta de debito</t>
  </si>
  <si>
    <t>PDA13</t>
  </si>
  <si>
    <t>Dia 23</t>
  </si>
  <si>
    <t>IVA RETENIDO POR COMPENSAR</t>
  </si>
  <si>
    <t xml:space="preserve">liquidación
No.546647248 </t>
  </si>
  <si>
    <t>PDA14</t>
  </si>
  <si>
    <t>Papeleria y utilez</t>
  </si>
  <si>
    <t xml:space="preserve">e compraron a Librería Modelo, 2 resmas de papel bond de 80 gramos tamaño </t>
  </si>
  <si>
    <t>PDA15</t>
  </si>
  <si>
    <t>Dia 24</t>
  </si>
  <si>
    <t>Cominiciones bancarias sobre ventas</t>
  </si>
  <si>
    <t>Cuntas por cobrar con tarjeta de Debito</t>
  </si>
  <si>
    <t>factura electrónica Serie-63-EA7-001
No.1800005026</t>
  </si>
  <si>
    <t>PDA16</t>
  </si>
  <si>
    <t>Mecaderias en consignacion</t>
  </si>
  <si>
    <t>mercaderias que se le enviaron el día 11. Se le
extendió la factura No.039</t>
  </si>
  <si>
    <t>PDA17</t>
  </si>
  <si>
    <t>Dia 25</t>
  </si>
  <si>
    <t xml:space="preserve"> se pagó una’letra a Distribuidora Las
Gaviotas, recibo de caja No.10.</t>
  </si>
  <si>
    <t xml:space="preserve">PDA18 </t>
  </si>
  <si>
    <t>Dia 26</t>
  </si>
  <si>
    <t>Clientes</t>
  </si>
  <si>
    <t>con el cheque No.1950 del Banco Emperador, SA nos abona Q4,000.00,
recibo de caja No.00I.</t>
  </si>
  <si>
    <t>PDA19</t>
  </si>
  <si>
    <t>Dia 27</t>
  </si>
  <si>
    <t>Iva retenido por compensar</t>
  </si>
  <si>
    <t>ISR retendido por acreditar sobre ventas</t>
  </si>
  <si>
    <t>Ventas</t>
  </si>
  <si>
    <t>SAT 2229
T-1448183.</t>
  </si>
  <si>
    <t>PDA20</t>
  </si>
  <si>
    <t>Dia 29</t>
  </si>
  <si>
    <t>se depositó en el Banco El Águila, S. A,</t>
  </si>
  <si>
    <t>PDA21</t>
  </si>
  <si>
    <t>Dia 31</t>
  </si>
  <si>
    <t>Sueldo de oficina</t>
  </si>
  <si>
    <t>Sueldos de ventas</t>
  </si>
  <si>
    <t>Bonificacion incentivo de oficina</t>
  </si>
  <si>
    <t>Bonificacion incentivo de sala de ventas</t>
  </si>
  <si>
    <t>Cuota patronal de oficina</t>
  </si>
  <si>
    <t>Cuotra patronal sala de ventas</t>
  </si>
  <si>
    <t xml:space="preserve">Iggs por pagar </t>
  </si>
  <si>
    <t>Anticipos sobre sueldos</t>
  </si>
  <si>
    <t xml:space="preserve">se pagó con los cheques del No. 0003 al 
No.0011 del Banco El Aguila, SA </t>
  </si>
  <si>
    <t>PDA22</t>
  </si>
  <si>
    <t>&gt;</t>
  </si>
  <si>
    <t>Bancos cuentas personal</t>
  </si>
  <si>
    <t>No.003 del Banco El Cóndor S.A.</t>
  </si>
  <si>
    <t>PDA23</t>
  </si>
  <si>
    <t>Material de empaque consumido</t>
  </si>
  <si>
    <t xml:space="preserve">Material de empaque </t>
  </si>
  <si>
    <t>Por lo consumido</t>
  </si>
  <si>
    <t>partidas</t>
  </si>
  <si>
    <t xml:space="preserve">debe </t>
  </si>
  <si>
    <t>haber</t>
  </si>
  <si>
    <t>LIBRO MAYOR</t>
  </si>
  <si>
    <t>Libro Mayor a un Folio Cifras en Quetzales</t>
  </si>
  <si>
    <t>FO 1</t>
  </si>
  <si>
    <t>DÍA</t>
  </si>
  <si>
    <t>CUENTAS</t>
  </si>
  <si>
    <t>PDA</t>
  </si>
  <si>
    <t>DEBE</t>
  </si>
  <si>
    <t>HABER</t>
  </si>
  <si>
    <t>CAJA</t>
  </si>
  <si>
    <t>Enero</t>
  </si>
  <si>
    <t>A varias cuentas</t>
  </si>
  <si>
    <t>4484.5</t>
  </si>
  <si>
    <t xml:space="preserve"> Q           4,484.50</t>
  </si>
  <si>
    <t>16956.8</t>
  </si>
  <si>
    <t xml:space="preserve"> Q        21,441.30</t>
  </si>
  <si>
    <t>1009.2</t>
  </si>
  <si>
    <t xml:space="preserve"> Q        22,450.50</t>
  </si>
  <si>
    <t>Por bancos</t>
  </si>
  <si>
    <t xml:space="preserve"> Q        12,450.50</t>
  </si>
  <si>
    <t xml:space="preserve"> Q        23,818.50</t>
  </si>
  <si>
    <t>Por Anticipo sobre sueldos</t>
  </si>
  <si>
    <t xml:space="preserve"> Q        23,618.50</t>
  </si>
  <si>
    <t>Por varias cuentas</t>
  </si>
  <si>
    <t>269.92</t>
  </si>
  <si>
    <t xml:space="preserve"> Q        23,348.58</t>
  </si>
  <si>
    <t>2027.2</t>
  </si>
  <si>
    <t xml:space="preserve"> Q        25,375.78</t>
  </si>
  <si>
    <t>8626.4</t>
  </si>
  <si>
    <t xml:space="preserve"> Q        34,002.18</t>
  </si>
  <si>
    <t>33502.18</t>
  </si>
  <si>
    <t xml:space="preserve"> Q              500.00</t>
  </si>
  <si>
    <t xml:space="preserve"> </t>
  </si>
  <si>
    <t>FO 2</t>
  </si>
  <si>
    <t>BANCOS</t>
  </si>
  <si>
    <t xml:space="preserve"> Q      104,520.00</t>
  </si>
  <si>
    <t>Por proveedores</t>
  </si>
  <si>
    <t xml:space="preserve"> Q        95,520.00</t>
  </si>
  <si>
    <t>A Caja</t>
  </si>
  <si>
    <t xml:space="preserve"> Q      105,520.00</t>
  </si>
  <si>
    <t>A cuentas por cobrar tarjeta de debito</t>
  </si>
  <si>
    <t xml:space="preserve"> Q      107,089.00</t>
  </si>
  <si>
    <t>Por documentos por pagar a cortoplazo</t>
  </si>
  <si>
    <t xml:space="preserve"> Q      106,089.00</t>
  </si>
  <si>
    <t>A clientes</t>
  </si>
  <si>
    <t xml:space="preserve"> Q      110,089.00</t>
  </si>
  <si>
    <t>A Bancos</t>
  </si>
  <si>
    <t xml:space="preserve"> Q      143,591.18</t>
  </si>
  <si>
    <t>29934.81</t>
  </si>
  <si>
    <t xml:space="preserve"> Q      113,656.37</t>
  </si>
  <si>
    <t xml:space="preserve"> Q      107,656.37</t>
  </si>
  <si>
    <t>FO 3</t>
  </si>
  <si>
    <t>8436.66</t>
  </si>
  <si>
    <t xml:space="preserve"> Q           8,436.66</t>
  </si>
  <si>
    <t>Por caja</t>
  </si>
  <si>
    <t>1816.8</t>
  </si>
  <si>
    <t xml:space="preserve"> Q           6,619.86</t>
  </si>
  <si>
    <t xml:space="preserve"> Q           5,610.66</t>
  </si>
  <si>
    <t>A proveedores</t>
  </si>
  <si>
    <t>717.6</t>
  </si>
  <si>
    <t xml:space="preserve"> Q           6,328.26</t>
  </si>
  <si>
    <t>58.8</t>
  </si>
  <si>
    <t xml:space="preserve"> Q           6,387.06</t>
  </si>
  <si>
    <t xml:space="preserve"> Q           5,169.06</t>
  </si>
  <si>
    <t>76.8</t>
  </si>
  <si>
    <t xml:space="preserve"> Q           5,092.26</t>
  </si>
  <si>
    <t>Por cuentas por cobrar tarjeta de débito o crédito</t>
  </si>
  <si>
    <t xml:space="preserve"> Q           4,912.26</t>
  </si>
  <si>
    <t>A caja</t>
  </si>
  <si>
    <t>28.92</t>
  </si>
  <si>
    <t xml:space="preserve"> Q           4,941.18</t>
  </si>
  <si>
    <t>A cuentas por cobrar tarjeta de crédito o débito</t>
  </si>
  <si>
    <t xml:space="preserve"> Q           4,950.18</t>
  </si>
  <si>
    <t>por varias cuentas</t>
  </si>
  <si>
    <t>217.20</t>
  </si>
  <si>
    <t xml:space="preserve"> Q           4,732.98</t>
  </si>
  <si>
    <t xml:space="preserve"> Q           3,748.98</t>
  </si>
  <si>
    <t>FO 4</t>
  </si>
  <si>
    <t>MERCADERÍAS</t>
  </si>
  <si>
    <t>49767.5</t>
  </si>
  <si>
    <t xml:space="preserve"> Q        49,767.50</t>
  </si>
  <si>
    <t>FO 5</t>
  </si>
  <si>
    <t>MATERIAL DE EMPAQUE</t>
  </si>
  <si>
    <t xml:space="preserve"> Q           1,036.00</t>
  </si>
  <si>
    <t>Por Material de empaque consumido</t>
  </si>
  <si>
    <t>621.6</t>
  </si>
  <si>
    <t xml:space="preserve"> Q              414.40</t>
  </si>
  <si>
    <t>FO 6</t>
  </si>
  <si>
    <t>MOBILIARIO Y EQUIPO</t>
  </si>
  <si>
    <t xml:space="preserve"> Q        14,433.00</t>
  </si>
  <si>
    <t>FO 7</t>
  </si>
  <si>
    <t>EQUIPO DE COMPUTACIÓN</t>
  </si>
  <si>
    <t xml:space="preserve"> Q           4,705.00</t>
  </si>
  <si>
    <t>FO 8</t>
  </si>
  <si>
    <t>GASTOS DE ORGANIZACIÓN</t>
  </si>
  <si>
    <t xml:space="preserve"> Q           2,750.00</t>
  </si>
  <si>
    <t>FO 9</t>
  </si>
  <si>
    <t>PROVEEDORES</t>
  </si>
  <si>
    <t xml:space="preserve"> Q        20,000.00</t>
  </si>
  <si>
    <t xml:space="preserve"> Q        11,000.00</t>
  </si>
  <si>
    <t>6697.6</t>
  </si>
  <si>
    <t xml:space="preserve"> Q        17,697.60</t>
  </si>
  <si>
    <t>716.8</t>
  </si>
  <si>
    <t xml:space="preserve"> Q        16,980.80</t>
  </si>
  <si>
    <t>FO 10</t>
  </si>
  <si>
    <t>DOCUMENTOS POR PAGAR A CORTO PLAZO</t>
  </si>
  <si>
    <t xml:space="preserve"> Q           3,000.00</t>
  </si>
  <si>
    <t xml:space="preserve"> Q           2,000.00</t>
  </si>
  <si>
    <t>FO 11</t>
  </si>
  <si>
    <t>ISR retenido por pagar sobre compras</t>
  </si>
  <si>
    <t>721.65</t>
  </si>
  <si>
    <t xml:space="preserve"> Q              721.65</t>
  </si>
  <si>
    <t>FO 12</t>
  </si>
  <si>
    <t>ISR retenido por pagar sobre  facturas especiales</t>
  </si>
  <si>
    <t>70.00</t>
  </si>
  <si>
    <t xml:space="preserve"> Q                70.00</t>
  </si>
  <si>
    <t>FO 13</t>
  </si>
  <si>
    <t>IVA RETENIDO POR PAGAR SOBRE FACTURAS ESPECIALES</t>
  </si>
  <si>
    <t xml:space="preserve"> Q              168.00</t>
  </si>
  <si>
    <t>FO 14</t>
  </si>
  <si>
    <t>PATRIMONIO NETO</t>
  </si>
  <si>
    <t>166173.01</t>
  </si>
  <si>
    <t xml:space="preserve"> Q      166,173.01</t>
  </si>
  <si>
    <t>FO 15</t>
  </si>
  <si>
    <t>VENTAS</t>
  </si>
  <si>
    <t xml:space="preserve"> Q        15,140.00</t>
  </si>
  <si>
    <t xml:space="preserve"> Q        23,550.00</t>
  </si>
  <si>
    <t xml:space="preserve"> Q        33,700.00</t>
  </si>
  <si>
    <t>Por cuentas por cobrar tarjetas de débito</t>
  </si>
  <si>
    <t xml:space="preserve"> Q        35,200.00</t>
  </si>
  <si>
    <t xml:space="preserve"> Q        43,400.00</t>
  </si>
  <si>
    <t>FO 16</t>
  </si>
  <si>
    <t>CLIENTES</t>
  </si>
  <si>
    <t>Avarias cuentas</t>
  </si>
  <si>
    <t>7989.5</t>
  </si>
  <si>
    <t xml:space="preserve"> Q           7,989.50</t>
  </si>
  <si>
    <t>Por Varias cuentas</t>
  </si>
  <si>
    <t>548.8</t>
  </si>
  <si>
    <t xml:space="preserve"> Q           7,440.70</t>
  </si>
  <si>
    <t xml:space="preserve"> Q           3,440.70</t>
  </si>
  <si>
    <t>FO 17</t>
  </si>
  <si>
    <t>ISR RETENIDO POR ACREDITAR SOBRE VENTAS</t>
  </si>
  <si>
    <t>420.5</t>
  </si>
  <si>
    <t xml:space="preserve"> Q              420.50</t>
  </si>
  <si>
    <t xml:space="preserve"> Q              830.50</t>
  </si>
  <si>
    <t>FO 18</t>
  </si>
  <si>
    <t>MERCADERÍAS ENVIADAS A CONSIGNACIÓN</t>
  </si>
  <si>
    <t>A ventas por realizar</t>
  </si>
  <si>
    <t xml:space="preserve"> Q           5,000.00</t>
  </si>
  <si>
    <t>FO 19</t>
  </si>
  <si>
    <t>VENTAS POR REALIZAR</t>
  </si>
  <si>
    <t>Por mercaderias enviadas en consignación</t>
  </si>
  <si>
    <t xml:space="preserve"> Q           6,810.00</t>
  </si>
  <si>
    <t>FO 20</t>
  </si>
  <si>
    <t>COMPRAS</t>
  </si>
  <si>
    <t xml:space="preserve"> Q           5,980.00</t>
  </si>
  <si>
    <t>FO 21</t>
  </si>
  <si>
    <t>DEVOLUCIONES Y REBAJAS SOBRE VENTAS</t>
  </si>
  <si>
    <t xml:space="preserve"> Q              490.00</t>
  </si>
  <si>
    <t>FO 22</t>
  </si>
  <si>
    <t>ANTICIPOS SOBRE SUELDOS</t>
  </si>
  <si>
    <t xml:space="preserve"> Q              200.00</t>
  </si>
  <si>
    <t xml:space="preserve"> Q                       -  </t>
  </si>
  <si>
    <t>FO 23</t>
  </si>
  <si>
    <t>DEVOLUCIONES Y REBAJAS SOBRE COMPRAS</t>
  </si>
  <si>
    <t xml:space="preserve"> Q              640.00</t>
  </si>
  <si>
    <t>FO 24</t>
  </si>
  <si>
    <t>CUENTAS POR COBRAR TARJETAS DE DEBITO</t>
  </si>
  <si>
    <t xml:space="preserve"> Q           1,680.00</t>
  </si>
  <si>
    <t xml:space="preserve"> Q                84.00</t>
  </si>
  <si>
    <t>FO 25</t>
  </si>
  <si>
    <t>IVA Retenido por compensar</t>
  </si>
  <si>
    <t>A cuentas por cobrar tarj. De crédito o débito</t>
  </si>
  <si>
    <t xml:space="preserve"> Q                27.00</t>
  </si>
  <si>
    <t>147.6</t>
  </si>
  <si>
    <t xml:space="preserve"> Q              174.60</t>
  </si>
  <si>
    <t>FO 26</t>
  </si>
  <si>
    <t>PAPELERÍA Y ÚTILES</t>
  </si>
  <si>
    <t xml:space="preserve"> Q              241.00</t>
  </si>
  <si>
    <t>FO 27</t>
  </si>
  <si>
    <t>COMISIONES BANCARIAS SOBRE VENTAS</t>
  </si>
  <si>
    <t>A cuentas por cobrar tarjeta de débito</t>
  </si>
  <si>
    <t xml:space="preserve"> Q                75.00</t>
  </si>
  <si>
    <t>FO 28</t>
  </si>
  <si>
    <t>SUELDOS DE OFICINA</t>
  </si>
  <si>
    <t xml:space="preserve"> Q        16,500.00</t>
  </si>
  <si>
    <t>FO 29</t>
  </si>
  <si>
    <t>SUELDOS SALA DE VENTAS</t>
  </si>
  <si>
    <t xml:space="preserve"> Q        12,800.00</t>
  </si>
  <si>
    <t>FO 30</t>
  </si>
  <si>
    <t>BONIFICACIÓN INCENTIVO OFICINAS</t>
  </si>
  <si>
    <t xml:space="preserve"> Q           1,250.00</t>
  </si>
  <si>
    <t>FO 31</t>
  </si>
  <si>
    <t>BONIFICACIÓN INCENTIVO SALA DE VENTAS</t>
  </si>
  <si>
    <t xml:space="preserve"> Q           1,000.00</t>
  </si>
  <si>
    <t>FO 32</t>
  </si>
  <si>
    <t>CUOTAS PATRONALES DE OFICINAS</t>
  </si>
  <si>
    <t>2090.55</t>
  </si>
  <si>
    <t xml:space="preserve"> Q           2,090.55</t>
  </si>
  <si>
    <t>FO 33</t>
  </si>
  <si>
    <t>CUOTAS PATRONALES SALA DE VENTAS</t>
  </si>
  <si>
    <t>1621.76</t>
  </si>
  <si>
    <t xml:space="preserve"> Q           1,621.76</t>
  </si>
  <si>
    <t>FO 34</t>
  </si>
  <si>
    <t>IGSS POR PAGAR</t>
  </si>
  <si>
    <t>Por  varias cuentas</t>
  </si>
  <si>
    <t>5127.5</t>
  </si>
  <si>
    <t xml:space="preserve"> Q           5,127.50</t>
  </si>
  <si>
    <t>FO 35</t>
  </si>
  <si>
    <t>BLANCO CUENTA PERSONAL</t>
  </si>
  <si>
    <t>A bancos</t>
  </si>
  <si>
    <t xml:space="preserve"> Q           6,000.00</t>
  </si>
  <si>
    <t>FO 36</t>
  </si>
  <si>
    <t>MATERIAL DE EMPAQUE CONSUMIDO</t>
  </si>
  <si>
    <t>A material de empaque</t>
  </si>
  <si>
    <t xml:space="preserve"> Q              621.60</t>
  </si>
  <si>
    <t>355267.07</t>
  </si>
  <si>
    <t>ALMACÉN EL UNIVERSAL</t>
  </si>
  <si>
    <t>BALANZA DE COMPROBACION DEL 1 AL 31 DE ENERO DE 2025</t>
  </si>
  <si>
    <t>No.  De
Folios</t>
  </si>
  <si>
    <t>CUENTA</t>
  </si>
  <si>
    <t>MOVIMIENTOS
(SUMAS)</t>
  </si>
  <si>
    <t>SALDOS</t>
  </si>
  <si>
    <t>DEUDOR</t>
  </si>
  <si>
    <t>ACREEDOR</t>
  </si>
  <si>
    <t>caja</t>
  </si>
  <si>
    <t xml:space="preserve">bancos </t>
  </si>
  <si>
    <t> 153591,18</t>
  </si>
  <si>
    <t> 45934,81</t>
  </si>
  <si>
    <t> Iva</t>
  </si>
  <si>
    <t> 9250,98</t>
  </si>
  <si>
    <t> 5502</t>
  </si>
  <si>
    <t> Mercaderias</t>
  </si>
  <si>
    <t> 1036</t>
  </si>
  <si>
    <t> 414,4</t>
  </si>
  <si>
    <t xml:space="preserve">MOBILIARIO Y EQUIPO
</t>
  </si>
  <si>
    <t xml:space="preserve"> EQUIPO DE COMPUTACIÓN
</t>
  </si>
  <si>
    <t> 4705</t>
  </si>
  <si>
    <t> 9715,8</t>
  </si>
  <si>
    <t> 16981,80</t>
  </si>
  <si>
    <t xml:space="preserve"> DOCUMENTOS POR PAGAR A CORTO PLAZO
</t>
  </si>
  <si>
    <t> 1000</t>
  </si>
  <si>
    <t> 166173,01</t>
  </si>
  <si>
    <t> 241</t>
  </si>
  <si>
    <t>Sumas Iguales</t>
  </si>
  <si>
    <t>CUADRO HOJA DE TRABAJO</t>
  </si>
  <si>
    <t>ALMACÉN EL JUPITER</t>
  </si>
  <si>
    <t>HOJA DE TRABAJO AL 31 DE DICIEMBRE 2025</t>
  </si>
  <si>
    <t>No.</t>
  </si>
  <si>
    <t>CONCEPTO</t>
  </si>
  <si>
    <t>BALACE DE SALDOS</t>
  </si>
  <si>
    <t>AJUSTES</t>
  </si>
  <si>
    <t>BALANCE AJUSTADO
O BALANCE DE SALDOS</t>
  </si>
  <si>
    <t>RESULTADOS</t>
  </si>
  <si>
    <t>ESTADO DE SITUACIÓN
FINANCIERA</t>
  </si>
  <si>
    <t>PÉRDIDA</t>
  </si>
  <si>
    <t>GANANCIA</t>
  </si>
  <si>
    <t>Mercaderías</t>
  </si>
  <si>
    <t xml:space="preserve"> Q 49,767.50</t>
  </si>
  <si>
    <t>Equipo de Computación</t>
  </si>
  <si>
    <t>Gastos de Organización</t>
  </si>
  <si>
    <t>Documentos por Pagar a Corto Plazo</t>
  </si>
  <si>
    <t>Ventas por Realizar</t>
  </si>
  <si>
    <t>Compras</t>
  </si>
  <si>
    <t>Devoluciones y Rebajas Sobre Ventas</t>
  </si>
  <si>
    <t>Papelería y útiles</t>
  </si>
  <si>
    <t>DEPRECIACIONES</t>
  </si>
  <si>
    <t>DEPRECIACIONES ACUMULADAS</t>
  </si>
  <si>
    <t>AMORTIZACIONES</t>
  </si>
  <si>
    <t>AMORTIZACIONES ACUMULADAS</t>
  </si>
  <si>
    <t xml:space="preserve">CUENTAS INCOBRABLES </t>
  </si>
  <si>
    <t>PROVISIÓN PARA CUENTAS INCOBRABLES</t>
  </si>
  <si>
    <t>SUMA DE ESTADO DE RESULTADOS</t>
  </si>
  <si>
    <r>
      <t xml:space="preserve">PÉRDIDA DEL EJERCICIO </t>
    </r>
    <r>
      <rPr>
        <sz val="6"/>
        <color rgb="FF000000"/>
        <rFont val="Calibri"/>
        <family val="2"/>
      </rPr>
      <t>(GANACIA O PERDIDA SEGÚN EL CASO)</t>
    </r>
  </si>
  <si>
    <t>Depreciaciones</t>
  </si>
  <si>
    <t>valor de desecho</t>
  </si>
  <si>
    <t>13711.35</t>
  </si>
  <si>
    <t>235.25</t>
  </si>
  <si>
    <t>4469.75</t>
  </si>
  <si>
    <t>Amortizaciones</t>
  </si>
  <si>
    <t>107656.37</t>
  </si>
  <si>
    <t>108656.37</t>
  </si>
  <si>
    <t>3748.98</t>
  </si>
  <si>
    <t>cuents incobrables</t>
  </si>
  <si>
    <t>clientes</t>
  </si>
  <si>
    <t>3440.7</t>
  </si>
  <si>
    <t>103.22</t>
  </si>
  <si>
    <t>414.4</t>
  </si>
  <si>
    <t>16980.8</t>
  </si>
  <si>
    <t> 4300</t>
  </si>
  <si>
    <t>830.5</t>
  </si>
  <si>
    <t> 830,5</t>
  </si>
  <si>
    <t> 5980</t>
  </si>
  <si>
    <t> 490</t>
  </si>
  <si>
    <t> 640</t>
  </si>
  <si>
    <t>174.6</t>
  </si>
  <si>
    <t> 16500</t>
  </si>
  <si>
    <t> 12800</t>
  </si>
  <si>
    <t> 1250</t>
  </si>
  <si>
    <t> 2090,55</t>
  </si>
  <si>
    <t> 1621,76</t>
  </si>
  <si>
    <t> 621,6</t>
  </si>
  <si>
    <t>4232.04</t>
  </si>
  <si>
    <t>242090.96</t>
  </si>
  <si>
    <t>5885.26</t>
  </si>
  <si>
    <t>247976.21</t>
  </si>
  <si>
    <r>
      <t xml:space="preserve">PÉRDIDA DEL EJERCICIO </t>
    </r>
    <r>
      <rPr>
        <sz val="6"/>
        <rFont val="Calibri"/>
        <family val="2"/>
      </rPr>
      <t>(GANACIA O PERDIDA SEGÚN EL CASO)</t>
    </r>
  </si>
  <si>
    <t>Fecha 12/31/2025</t>
  </si>
  <si>
    <t xml:space="preserve">Partidad de ajustes </t>
  </si>
  <si>
    <t>pda1</t>
  </si>
  <si>
    <t>Depreciacciones</t>
  </si>
  <si>
    <t xml:space="preserve">          Depreciones acumuladas</t>
  </si>
  <si>
    <t>total</t>
  </si>
  <si>
    <t>pda2</t>
  </si>
  <si>
    <t xml:space="preserve">Amortizaciones </t>
  </si>
  <si>
    <t>Amortizaciones acumuladas</t>
  </si>
  <si>
    <t>pda3</t>
  </si>
  <si>
    <t>Cuentas incobrables</t>
  </si>
  <si>
    <t xml:space="preserve">provicion para cuentas incobrables </t>
  </si>
  <si>
    <t>pda4</t>
  </si>
  <si>
    <t>Documentos por pagar a cort plazo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</si>
</sst>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Q&quot;* #,##0.00_-;\-&quot;Q&quot;* #,##0.00_-;_-&quot;Q&quot;* &quot;-&quot;??_-;_-@_-"/>
    <numFmt numFmtId="165" formatCode="0.0000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scheme val="minor"/>
    </font>
    <font>
      <sz val="18"/>
      <color rgb="FF000000"/>
      <name val="Tahoma"/>
      <family val="2"/>
    </font>
    <font>
      <sz val="11"/>
      <color rgb="FFFFFFFF"/>
      <name val="Calibri"/>
      <family val="2"/>
    </font>
    <font>
      <sz val="11"/>
      <name val="Calibri"/>
      <family val="2"/>
    </font>
    <font>
      <b/>
      <sz val="6"/>
      <color rgb="FF000000"/>
      <name val="Calibri"/>
      <family val="2"/>
    </font>
    <font>
      <sz val="6"/>
      <color rgb="FF000000"/>
      <name val="Calibri"/>
      <family val="2"/>
    </font>
    <font>
      <b/>
      <sz val="11"/>
      <name val="Calibri"/>
      <family val="2"/>
    </font>
    <font>
      <sz val="6"/>
      <name val="Calibri"/>
      <family val="2"/>
    </font>
    <font>
      <b/>
      <sz val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70AD47"/>
        <bgColor rgb="FF000000"/>
      </patternFill>
    </fill>
  </fills>
  <borders count="49">
    <border>
      <left/>
      <right/>
      <top/>
      <bottom/>
      <diagonal/>
    </border>
    <border>
      <left/>
      <right/>
      <top/>
      <bottom style="double">
        <color rgb="FFFF0000"/>
      </bottom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 style="double">
        <color rgb="FFFF0000"/>
      </top>
      <bottom/>
      <diagonal/>
    </border>
    <border>
      <left/>
      <right/>
      <top/>
      <bottom style="thick">
        <color rgb="FF002060"/>
      </bottom>
      <diagonal/>
    </border>
    <border>
      <left/>
      <right/>
      <top style="thick">
        <color rgb="FF002060"/>
      </top>
      <bottom/>
      <diagonal/>
    </border>
    <border>
      <left style="thin">
        <color rgb="FFFF0000"/>
      </left>
      <right style="thick">
        <color rgb="FF002060"/>
      </right>
      <top style="double">
        <color rgb="FFFF0000"/>
      </top>
      <bottom/>
      <diagonal/>
    </border>
    <border>
      <left style="thin">
        <color rgb="FFFF0000"/>
      </left>
      <right style="thick">
        <color rgb="FF002060"/>
      </right>
      <top/>
      <bottom/>
      <diagonal/>
    </border>
    <border>
      <left style="thin">
        <color rgb="FFFF0000"/>
      </left>
      <right style="thick">
        <color rgb="FF002060"/>
      </right>
      <top/>
      <bottom style="medium">
        <color rgb="FFFF0000"/>
      </bottom>
      <diagonal/>
    </border>
    <border>
      <left style="thin">
        <color rgb="FFFF0000"/>
      </left>
      <right style="thick">
        <color rgb="FF00206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ck">
        <color rgb="FF002060"/>
      </right>
      <top/>
      <bottom style="thin">
        <color indexed="64"/>
      </bottom>
      <diagonal/>
    </border>
    <border>
      <left style="thick">
        <color rgb="FF002060"/>
      </left>
      <right style="double">
        <color rgb="FFFF0000"/>
      </right>
      <top style="double">
        <color rgb="FFFF0000"/>
      </top>
      <bottom/>
      <diagonal/>
    </border>
    <border>
      <left style="thick">
        <color rgb="FF002060"/>
      </left>
      <right style="double">
        <color rgb="FFFF0000"/>
      </right>
      <top/>
      <bottom/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 style="double">
        <color rgb="FFFF0000"/>
      </left>
      <right style="double">
        <color rgb="FFFF0000"/>
      </right>
      <top/>
      <bottom style="thick">
        <color rgb="FF002060"/>
      </bottom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/>
      <top/>
      <bottom style="double">
        <color theme="1"/>
      </bottom>
      <diagonal/>
    </border>
    <border>
      <left/>
      <right/>
      <top style="double">
        <color theme="1"/>
      </top>
      <bottom/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medium">
        <color rgb="FF002060"/>
      </bottom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double">
        <color rgb="FFFF0000"/>
      </right>
      <top/>
      <bottom style="medium">
        <color rgb="FF002060"/>
      </bottom>
      <diagonal/>
    </border>
    <border>
      <left style="double">
        <color rgb="FFFF0000"/>
      </left>
      <right style="double">
        <color rgb="FFFF0000"/>
      </right>
      <top style="thick">
        <color rgb="FF002060"/>
      </top>
      <bottom style="double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203764"/>
      </bottom>
      <diagonal/>
    </border>
    <border>
      <left/>
      <right style="thin">
        <color rgb="FF203764"/>
      </right>
      <top/>
      <bottom style="thin">
        <color rgb="FFFF0000"/>
      </bottom>
      <diagonal/>
    </border>
    <border>
      <left/>
      <right style="thin">
        <color rgb="FF203764"/>
      </right>
      <top/>
      <bottom/>
      <diagonal/>
    </border>
    <border>
      <left style="thin">
        <color rgb="FF203764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2037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FF0000"/>
      </left>
      <right style="thin">
        <color rgb="FF203764"/>
      </right>
      <top/>
      <bottom style="thin">
        <color rgb="FFFF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Fill="1" applyBorder="1"/>
    <xf numFmtId="0" fontId="0" fillId="0" borderId="5" xfId="0" applyBorder="1"/>
    <xf numFmtId="0" fontId="0" fillId="0" borderId="5" xfId="0" applyFill="1" applyBorder="1"/>
    <xf numFmtId="0" fontId="0" fillId="0" borderId="6" xfId="0" applyBorder="1"/>
    <xf numFmtId="0" fontId="0" fillId="0" borderId="9" xfId="0" applyFill="1" applyBorder="1"/>
    <xf numFmtId="0" fontId="0" fillId="0" borderId="8" xfId="0" applyFill="1" applyBorder="1"/>
    <xf numFmtId="0" fontId="0" fillId="0" borderId="8" xfId="0" applyBorder="1" applyAlignment="1">
      <alignment wrapText="1"/>
    </xf>
    <xf numFmtId="0" fontId="1" fillId="0" borderId="0" xfId="0" applyFont="1"/>
    <xf numFmtId="0" fontId="0" fillId="0" borderId="12" xfId="0" applyFill="1" applyBorder="1"/>
    <xf numFmtId="0" fontId="0" fillId="0" borderId="13" xfId="0" applyBorder="1" applyAlignment="1">
      <alignment horizontal="justify" vertical="center"/>
    </xf>
    <xf numFmtId="0" fontId="0" fillId="0" borderId="13" xfId="0" applyFill="1" applyBorder="1"/>
    <xf numFmtId="0" fontId="1" fillId="0" borderId="13" xfId="0" applyFont="1" applyFill="1" applyBorder="1"/>
    <xf numFmtId="0" fontId="2" fillId="0" borderId="13" xfId="0" applyFont="1" applyFill="1" applyBorder="1"/>
    <xf numFmtId="0" fontId="0" fillId="0" borderId="13" xfId="0" applyBorder="1"/>
    <xf numFmtId="0" fontId="0" fillId="0" borderId="13" xfId="0" applyBorder="1" applyAlignment="1">
      <alignment wrapText="1"/>
    </xf>
    <xf numFmtId="0" fontId="1" fillId="0" borderId="13" xfId="0" applyFont="1" applyFill="1" applyBorder="1" applyAlignment="1">
      <alignment horizontal="center"/>
    </xf>
    <xf numFmtId="0" fontId="0" fillId="0" borderId="8" xfId="0" applyFill="1" applyBorder="1" applyAlignment="1">
      <alignment wrapText="1"/>
    </xf>
    <xf numFmtId="0" fontId="0" fillId="0" borderId="9" xfId="0" applyFill="1" applyBorder="1" applyAlignment="1">
      <alignment wrapText="1"/>
    </xf>
    <xf numFmtId="2" fontId="0" fillId="0" borderId="0" xfId="0" applyNumberFormat="1"/>
    <xf numFmtId="2" fontId="0" fillId="0" borderId="5" xfId="0" applyNumberFormat="1" applyBorder="1"/>
    <xf numFmtId="2" fontId="1" fillId="0" borderId="0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6" xfId="0" applyNumberFormat="1" applyBorder="1"/>
    <xf numFmtId="2" fontId="0" fillId="0" borderId="14" xfId="0" applyNumberFormat="1" applyBorder="1"/>
    <xf numFmtId="2" fontId="0" fillId="0" borderId="15" xfId="0" applyNumberFormat="1" applyBorder="1"/>
    <xf numFmtId="164" fontId="0" fillId="0" borderId="0" xfId="0" applyNumberFormat="1"/>
    <xf numFmtId="0" fontId="0" fillId="0" borderId="11" xfId="0" applyFont="1" applyFill="1" applyBorder="1" applyAlignment="1">
      <alignment wrapText="1"/>
    </xf>
    <xf numFmtId="2" fontId="0" fillId="0" borderId="17" xfId="0" applyNumberFormat="1" applyBorder="1"/>
    <xf numFmtId="0" fontId="0" fillId="0" borderId="0" xfId="0" applyBorder="1"/>
    <xf numFmtId="2" fontId="0" fillId="0" borderId="19" xfId="0" applyNumberFormat="1" applyBorder="1"/>
    <xf numFmtId="2" fontId="0" fillId="0" borderId="20" xfId="0" applyNumberFormat="1" applyBorder="1"/>
    <xf numFmtId="0" fontId="0" fillId="0" borderId="1" xfId="0" applyBorder="1"/>
    <xf numFmtId="0" fontId="1" fillId="0" borderId="10" xfId="0" applyFont="1" applyFill="1" applyBorder="1"/>
    <xf numFmtId="0" fontId="1" fillId="0" borderId="9" xfId="0" applyFont="1" applyFill="1" applyBorder="1"/>
    <xf numFmtId="0" fontId="1" fillId="0" borderId="9" xfId="0" applyFont="1" applyFill="1" applyBorder="1" applyAlignment="1">
      <alignment wrapText="1"/>
    </xf>
    <xf numFmtId="0" fontId="1" fillId="0" borderId="8" xfId="0" applyFont="1" applyFill="1" applyBorder="1" applyAlignment="1">
      <alignment wrapText="1"/>
    </xf>
    <xf numFmtId="0" fontId="1" fillId="0" borderId="9" xfId="0" applyFont="1" applyFill="1" applyBorder="1" applyAlignment="1">
      <alignment horizontal="center"/>
    </xf>
    <xf numFmtId="0" fontId="0" fillId="0" borderId="0" xfId="0" applyFill="1" applyAlignment="1">
      <alignment wrapText="1"/>
    </xf>
    <xf numFmtId="2" fontId="0" fillId="0" borderId="9" xfId="0" applyNumberFormat="1" applyFill="1" applyBorder="1" applyAlignment="1">
      <alignment wrapText="1"/>
    </xf>
    <xf numFmtId="0" fontId="6" fillId="3" borderId="0" xfId="0" applyFont="1" applyFill="1"/>
    <xf numFmtId="0" fontId="6" fillId="3" borderId="0" xfId="0" applyFont="1" applyFill="1" applyBorder="1"/>
    <xf numFmtId="0" fontId="5" fillId="3" borderId="10" xfId="0" applyFont="1" applyFill="1" applyBorder="1"/>
    <xf numFmtId="0" fontId="7" fillId="0" borderId="8" xfId="0" applyFont="1" applyFill="1" applyBorder="1"/>
    <xf numFmtId="0" fontId="0" fillId="0" borderId="8" xfId="0" applyFont="1" applyFill="1" applyBorder="1" applyAlignment="1">
      <alignment wrapText="1"/>
    </xf>
    <xf numFmtId="0" fontId="1" fillId="3" borderId="10" xfId="0" applyFont="1" applyFill="1" applyBorder="1"/>
    <xf numFmtId="0" fontId="0" fillId="0" borderId="0" xfId="0" applyFont="1"/>
    <xf numFmtId="0" fontId="0" fillId="3" borderId="4" xfId="0" applyFont="1" applyFill="1" applyBorder="1"/>
    <xf numFmtId="0" fontId="0" fillId="3" borderId="1" xfId="0" applyFont="1" applyFill="1" applyBorder="1" applyAlignment="1">
      <alignment horizontal="center"/>
    </xf>
    <xf numFmtId="0" fontId="0" fillId="3" borderId="7" xfId="0" applyFont="1" applyFill="1" applyBorder="1"/>
    <xf numFmtId="0" fontId="0" fillId="3" borderId="12" xfId="0" applyFont="1" applyFill="1" applyBorder="1"/>
    <xf numFmtId="2" fontId="0" fillId="3" borderId="16" xfId="0" applyNumberFormat="1" applyFont="1" applyFill="1" applyBorder="1"/>
    <xf numFmtId="0" fontId="0" fillId="3" borderId="3" xfId="0" applyFont="1" applyFill="1" applyBorder="1"/>
    <xf numFmtId="0" fontId="0" fillId="3" borderId="8" xfId="0" applyFont="1" applyFill="1" applyBorder="1" applyAlignment="1">
      <alignment horizontal="justify" vertical="center"/>
    </xf>
    <xf numFmtId="0" fontId="0" fillId="3" borderId="13" xfId="0" applyFont="1" applyFill="1" applyBorder="1" applyAlignment="1">
      <alignment horizontal="justify" vertical="center"/>
    </xf>
    <xf numFmtId="2" fontId="0" fillId="3" borderId="14" xfId="0" applyNumberFormat="1" applyFont="1" applyFill="1" applyBorder="1"/>
    <xf numFmtId="0" fontId="1" fillId="3" borderId="21" xfId="0" applyFont="1" applyFill="1" applyBorder="1"/>
    <xf numFmtId="2" fontId="0" fillId="3" borderId="23" xfId="0" applyNumberFormat="1" applyFont="1" applyFill="1" applyBorder="1"/>
    <xf numFmtId="0" fontId="0" fillId="3" borderId="3" xfId="0" applyFont="1" applyFill="1" applyBorder="1" applyAlignment="1">
      <alignment wrapText="1"/>
    </xf>
    <xf numFmtId="2" fontId="0" fillId="3" borderId="15" xfId="0" applyNumberFormat="1" applyFont="1" applyFill="1" applyBorder="1"/>
    <xf numFmtId="0" fontId="1" fillId="3" borderId="10" xfId="0" applyFont="1" applyFill="1" applyBorder="1" applyAlignment="1">
      <alignment wrapText="1"/>
    </xf>
    <xf numFmtId="0" fontId="0" fillId="3" borderId="0" xfId="0" applyFont="1" applyFill="1"/>
    <xf numFmtId="2" fontId="0" fillId="3" borderId="24" xfId="0" applyNumberFormat="1" applyFont="1" applyFill="1" applyBorder="1"/>
    <xf numFmtId="0" fontId="1" fillId="3" borderId="1" xfId="0" applyFont="1" applyFill="1" applyBorder="1" applyAlignment="1">
      <alignment horizontal="center" wrapText="1"/>
    </xf>
    <xf numFmtId="2" fontId="0" fillId="3" borderId="19" xfId="0" applyNumberFormat="1" applyFont="1" applyFill="1" applyBorder="1"/>
    <xf numFmtId="2" fontId="0" fillId="3" borderId="0" xfId="0" applyNumberFormat="1" applyFont="1" applyFill="1"/>
    <xf numFmtId="0" fontId="0" fillId="0" borderId="3" xfId="0" applyFont="1" applyBorder="1"/>
    <xf numFmtId="0" fontId="0" fillId="0" borderId="8" xfId="0" applyFont="1" applyBorder="1" applyAlignment="1">
      <alignment horizontal="justify" vertical="center"/>
    </xf>
    <xf numFmtId="0" fontId="0" fillId="0" borderId="13" xfId="0" applyFont="1" applyBorder="1" applyAlignment="1">
      <alignment horizontal="justify" vertical="center"/>
    </xf>
    <xf numFmtId="2" fontId="0" fillId="0" borderId="14" xfId="0" applyNumberFormat="1" applyFont="1" applyBorder="1"/>
    <xf numFmtId="0" fontId="1" fillId="0" borderId="2" xfId="0" applyFont="1" applyBorder="1" applyAlignment="1">
      <alignment horizontal="center"/>
    </xf>
    <xf numFmtId="0" fontId="0" fillId="0" borderId="2" xfId="0" applyFill="1" applyBorder="1"/>
    <xf numFmtId="0" fontId="0" fillId="0" borderId="0" xfId="0" applyFill="1" applyBorder="1"/>
    <xf numFmtId="0" fontId="0" fillId="0" borderId="0" xfId="0" applyFill="1" applyBorder="1" applyAlignment="1">
      <alignment wrapText="1"/>
    </xf>
    <xf numFmtId="0" fontId="0" fillId="0" borderId="0" xfId="0" applyAlignment="1">
      <alignment wrapText="1"/>
    </xf>
    <xf numFmtId="2" fontId="0" fillId="0" borderId="22" xfId="0" applyNumberFormat="1" applyBorder="1"/>
    <xf numFmtId="2" fontId="1" fillId="0" borderId="0" xfId="0" applyNumberFormat="1" applyFont="1"/>
    <xf numFmtId="2" fontId="0" fillId="0" borderId="5" xfId="0" applyNumberFormat="1" applyFill="1" applyBorder="1"/>
    <xf numFmtId="2" fontId="0" fillId="0" borderId="12" xfId="0" applyNumberFormat="1" applyFill="1" applyBorder="1"/>
    <xf numFmtId="2" fontId="0" fillId="0" borderId="13" xfId="0" applyNumberFormat="1" applyBorder="1"/>
    <xf numFmtId="2" fontId="0" fillId="0" borderId="13" xfId="0" applyNumberFormat="1" applyFill="1" applyBorder="1"/>
    <xf numFmtId="0" fontId="0" fillId="0" borderId="0" xfId="0" applyFill="1"/>
    <xf numFmtId="2" fontId="0" fillId="0" borderId="0" xfId="0" applyNumberFormat="1" applyFill="1"/>
    <xf numFmtId="0" fontId="0" fillId="0" borderId="0" xfId="0" applyFont="1" applyFill="1"/>
    <xf numFmtId="165" fontId="0" fillId="0" borderId="13" xfId="0" applyNumberFormat="1" applyFont="1" applyFill="1" applyBorder="1"/>
    <xf numFmtId="2" fontId="0" fillId="0" borderId="0" xfId="0" applyNumberFormat="1" applyFont="1" applyFill="1"/>
    <xf numFmtId="2" fontId="0" fillId="0" borderId="0" xfId="0" applyNumberFormat="1" applyFont="1"/>
    <xf numFmtId="2" fontId="0" fillId="2" borderId="14" xfId="0" applyNumberFormat="1" applyFill="1" applyBorder="1"/>
    <xf numFmtId="0" fontId="8" fillId="0" borderId="0" xfId="0" applyFont="1"/>
    <xf numFmtId="0" fontId="9" fillId="0" borderId="0" xfId="0" applyFont="1" applyAlignment="1">
      <alignment wrapText="1"/>
    </xf>
    <xf numFmtId="0" fontId="10" fillId="0" borderId="27" xfId="0" applyFont="1" applyFill="1" applyBorder="1" applyAlignment="1"/>
    <xf numFmtId="0" fontId="10" fillId="0" borderId="29" xfId="0" applyFont="1" applyFill="1" applyBorder="1" applyAlignment="1"/>
    <xf numFmtId="0" fontId="11" fillId="0" borderId="29" xfId="0" applyFont="1" applyFill="1" applyBorder="1" applyAlignment="1"/>
    <xf numFmtId="0" fontId="11" fillId="0" borderId="26" xfId="0" applyFont="1" applyFill="1" applyBorder="1" applyAlignment="1">
      <alignment wrapText="1"/>
    </xf>
    <xf numFmtId="0" fontId="10" fillId="0" borderId="28" xfId="0" applyFont="1" applyFill="1" applyBorder="1" applyAlignment="1">
      <alignment wrapText="1"/>
    </xf>
    <xf numFmtId="0" fontId="11" fillId="0" borderId="28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left" indent="2"/>
    </xf>
    <xf numFmtId="0" fontId="0" fillId="0" borderId="2" xfId="0" applyBorder="1" applyAlignment="1">
      <alignment horizontal="left" indent="2"/>
    </xf>
    <xf numFmtId="0" fontId="12" fillId="0" borderId="2" xfId="0" applyFont="1" applyBorder="1" applyAlignment="1">
      <alignment horizontal="left"/>
    </xf>
    <xf numFmtId="0" fontId="1" fillId="0" borderId="4" xfId="0" applyFont="1" applyFill="1" applyBorder="1" applyAlignment="1">
      <alignment horizontal="center"/>
    </xf>
    <xf numFmtId="0" fontId="0" fillId="0" borderId="2" xfId="0" applyFont="1" applyBorder="1" applyAlignment="1">
      <alignment horizontal="left"/>
    </xf>
    <xf numFmtId="0" fontId="0" fillId="0" borderId="2" xfId="0" applyFont="1" applyBorder="1" applyAlignment="1">
      <alignment horizontal="center"/>
    </xf>
    <xf numFmtId="0" fontId="0" fillId="0" borderId="2" xfId="0" applyFont="1" applyBorder="1" applyAlignment="1">
      <alignment horizontal="left" indent="2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left" indent="2"/>
    </xf>
    <xf numFmtId="0" fontId="0" fillId="0" borderId="2" xfId="0" applyFont="1" applyBorder="1" applyAlignment="1">
      <alignment horizontal="left" wrapText="1"/>
    </xf>
    <xf numFmtId="0" fontId="0" fillId="0" borderId="2" xfId="0" applyFont="1" applyBorder="1" applyAlignment="1">
      <alignment horizontal="center" wrapText="1"/>
    </xf>
    <xf numFmtId="0" fontId="0" fillId="0" borderId="13" xfId="0" applyBorder="1" applyAlignment="1">
      <alignment horizontal="left"/>
    </xf>
    <xf numFmtId="0" fontId="0" fillId="0" borderId="0" xfId="0" applyFill="1" applyBorder="1" applyAlignment="1">
      <alignment indent="2"/>
    </xf>
    <xf numFmtId="2" fontId="0" fillId="0" borderId="0" xfId="0" applyNumberFormat="1" applyAlignment="1">
      <alignment horizontal="left"/>
    </xf>
    <xf numFmtId="2" fontId="0" fillId="0" borderId="5" xfId="0" applyNumberFormat="1" applyBorder="1" applyAlignment="1">
      <alignment horizontal="left"/>
    </xf>
    <xf numFmtId="2" fontId="1" fillId="0" borderId="0" xfId="0" applyNumberFormat="1" applyFont="1" applyBorder="1" applyAlignment="1">
      <alignment horizontal="left"/>
    </xf>
    <xf numFmtId="2" fontId="0" fillId="0" borderId="16" xfId="0" applyNumberFormat="1" applyBorder="1" applyAlignment="1">
      <alignment horizontal="left"/>
    </xf>
    <xf numFmtId="2" fontId="0" fillId="0" borderId="14" xfId="0" applyNumberFormat="1" applyBorder="1" applyAlignment="1">
      <alignment horizontal="left"/>
    </xf>
    <xf numFmtId="2" fontId="0" fillId="0" borderId="15" xfId="0" applyNumberFormat="1" applyBorder="1" applyAlignment="1">
      <alignment horizontal="left"/>
    </xf>
    <xf numFmtId="2" fontId="0" fillId="0" borderId="13" xfId="0" applyNumberFormat="1" applyBorder="1" applyAlignment="1">
      <alignment horizontal="left"/>
    </xf>
    <xf numFmtId="2" fontId="0" fillId="0" borderId="22" xfId="0" applyNumberFormat="1" applyBorder="1" applyAlignment="1">
      <alignment horizontal="left"/>
    </xf>
    <xf numFmtId="2" fontId="0" fillId="0" borderId="13" xfId="0" applyNumberFormat="1" applyFill="1" applyBorder="1" applyAlignment="1">
      <alignment horizontal="left"/>
    </xf>
    <xf numFmtId="2" fontId="0" fillId="0" borderId="0" xfId="0" applyNumberFormat="1" applyBorder="1" applyAlignment="1">
      <alignment horizontal="left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indent="2"/>
    </xf>
    <xf numFmtId="0" fontId="1" fillId="0" borderId="0" xfId="0" applyFont="1" applyAlignment="1">
      <alignment horizontal="center" indent="1"/>
    </xf>
    <xf numFmtId="0" fontId="1" fillId="0" borderId="0" xfId="0" applyFont="1" applyAlignment="1">
      <alignment horizontal="center"/>
    </xf>
    <xf numFmtId="0" fontId="10" fillId="0" borderId="3" xfId="0" applyFont="1" applyFill="1" applyBorder="1" applyAlignment="1"/>
    <xf numFmtId="0" fontId="10" fillId="0" borderId="0" xfId="0" applyFont="1" applyFill="1" applyAlignment="1"/>
    <xf numFmtId="0" fontId="10" fillId="0" borderId="30" xfId="0" applyFont="1" applyFill="1" applyBorder="1" applyAlignment="1"/>
    <xf numFmtId="0" fontId="10" fillId="0" borderId="25" xfId="0" applyFont="1" applyFill="1" applyBorder="1" applyAlignment="1"/>
    <xf numFmtId="0" fontId="10" fillId="4" borderId="14" xfId="0" applyFont="1" applyFill="1" applyBorder="1" applyAlignment="1"/>
    <xf numFmtId="0" fontId="10" fillId="4" borderId="0" xfId="0" applyFont="1" applyFill="1" applyBorder="1" applyAlignment="1"/>
    <xf numFmtId="0" fontId="10" fillId="0" borderId="25" xfId="0" applyFont="1" applyFill="1" applyBorder="1" applyAlignment="1">
      <alignment wrapText="1"/>
    </xf>
    <xf numFmtId="0" fontId="10" fillId="4" borderId="2" xfId="0" applyFont="1" applyFill="1" applyBorder="1" applyAlignment="1"/>
    <xf numFmtId="0" fontId="10" fillId="4" borderId="3" xfId="0" applyFont="1" applyFill="1" applyBorder="1" applyAlignment="1"/>
    <xf numFmtId="0" fontId="10" fillId="4" borderId="33" xfId="0" applyFont="1" applyFill="1" applyBorder="1" applyAlignment="1"/>
    <xf numFmtId="0" fontId="10" fillId="4" borderId="13" xfId="0" applyFont="1" applyFill="1" applyBorder="1" applyAlignment="1"/>
    <xf numFmtId="0" fontId="11" fillId="4" borderId="0" xfId="0" applyFont="1" applyFill="1" applyBorder="1" applyAlignment="1"/>
    <xf numFmtId="0" fontId="10" fillId="4" borderId="34" xfId="0" applyFont="1" applyFill="1" applyBorder="1" applyAlignment="1"/>
    <xf numFmtId="0" fontId="10" fillId="4" borderId="31" xfId="0" applyFont="1" applyFill="1" applyBorder="1" applyAlignment="1">
      <alignment wrapText="1"/>
    </xf>
    <xf numFmtId="0" fontId="10" fillId="4" borderId="32" xfId="0" applyFont="1" applyFill="1" applyBorder="1" applyAlignment="1">
      <alignment wrapText="1"/>
    </xf>
    <xf numFmtId="0" fontId="10" fillId="4" borderId="0" xfId="0" applyFont="1" applyFill="1" applyBorder="1" applyAlignment="1">
      <alignment wrapText="1"/>
    </xf>
    <xf numFmtId="0" fontId="10" fillId="4" borderId="34" xfId="0" applyFont="1" applyFill="1" applyBorder="1" applyAlignment="1">
      <alignment wrapText="1"/>
    </xf>
    <xf numFmtId="0" fontId="13" fillId="0" borderId="0" xfId="0" applyFont="1" applyFill="1" applyBorder="1" applyAlignment="1">
      <alignment readingOrder="1"/>
    </xf>
    <xf numFmtId="0" fontId="10" fillId="0" borderId="28" xfId="0" applyFont="1" applyFill="1" applyBorder="1" applyAlignment="1"/>
    <xf numFmtId="0" fontId="10" fillId="0" borderId="40" xfId="0" applyFont="1" applyFill="1" applyBorder="1" applyAlignment="1"/>
    <xf numFmtId="0" fontId="10" fillId="0" borderId="27" xfId="0" applyFont="1" applyFill="1" applyBorder="1" applyAlignment="1">
      <alignment wrapText="1"/>
    </xf>
    <xf numFmtId="0" fontId="10" fillId="0" borderId="29" xfId="0" applyFont="1" applyFill="1" applyBorder="1" applyAlignment="1">
      <alignment wrapText="1"/>
    </xf>
    <xf numFmtId="0" fontId="10" fillId="4" borderId="41" xfId="0" applyFont="1" applyFill="1" applyBorder="1" applyAlignment="1"/>
    <xf numFmtId="0" fontId="10" fillId="4" borderId="41" xfId="0" applyFont="1" applyFill="1" applyBorder="1" applyAlignment="1">
      <alignment wrapText="1"/>
    </xf>
    <xf numFmtId="0" fontId="9" fillId="0" borderId="0" xfId="0" applyFont="1"/>
    <xf numFmtId="0" fontId="0" fillId="2" borderId="0" xfId="0" applyFill="1"/>
    <xf numFmtId="0" fontId="0" fillId="5" borderId="0" xfId="0" applyFill="1"/>
    <xf numFmtId="0" fontId="9" fillId="5" borderId="0" xfId="0" applyFont="1" applyFill="1"/>
    <xf numFmtId="0" fontId="9" fillId="6" borderId="0" xfId="0" applyFont="1" applyFill="1"/>
    <xf numFmtId="0" fontId="10" fillId="0" borderId="26" xfId="0" applyFont="1" applyFill="1" applyBorder="1" applyAlignment="1"/>
    <xf numFmtId="0" fontId="14" fillId="0" borderId="0" xfId="0" applyFont="1" applyFill="1" applyBorder="1" applyAlignment="1"/>
    <xf numFmtId="0" fontId="15" fillId="0" borderId="26" xfId="0" applyFont="1" applyFill="1" applyBorder="1" applyAlignment="1"/>
    <xf numFmtId="0" fontId="15" fillId="0" borderId="28" xfId="0" applyFont="1" applyFill="1" applyBorder="1" applyAlignment="1"/>
    <xf numFmtId="0" fontId="14" fillId="0" borderId="40" xfId="0" applyFont="1" applyFill="1" applyBorder="1" applyAlignment="1"/>
    <xf numFmtId="0" fontId="16" fillId="0" borderId="0" xfId="0" applyFont="1" applyFill="1" applyBorder="1" applyAlignment="1"/>
    <xf numFmtId="0" fontId="10" fillId="7" borderId="0" xfId="0" applyFont="1" applyFill="1" applyBorder="1" applyAlignment="1"/>
    <xf numFmtId="0" fontId="15" fillId="7" borderId="0" xfId="0" applyFont="1" applyFill="1" applyBorder="1" applyAlignment="1"/>
    <xf numFmtId="0" fontId="11" fillId="7" borderId="0" xfId="0" applyFont="1" applyFill="1" applyBorder="1" applyAlignment="1"/>
    <xf numFmtId="0" fontId="10" fillId="0" borderId="26" xfId="0" applyFont="1" applyFill="1" applyBorder="1" applyAlignment="1">
      <alignment wrapText="1"/>
    </xf>
    <xf numFmtId="0" fontId="10" fillId="0" borderId="43" xfId="0" applyFont="1" applyFill="1" applyBorder="1" applyAlignment="1">
      <alignment wrapText="1"/>
    </xf>
    <xf numFmtId="0" fontId="18" fillId="0" borderId="0" xfId="0" applyFont="1" applyFill="1" applyBorder="1" applyAlignment="1"/>
    <xf numFmtId="0" fontId="15" fillId="0" borderId="29" xfId="0" applyFont="1" applyFill="1" applyBorder="1" applyAlignment="1"/>
    <xf numFmtId="0" fontId="15" fillId="0" borderId="3" xfId="0" applyFont="1" applyFill="1" applyBorder="1" applyAlignment="1"/>
    <xf numFmtId="0" fontId="14" fillId="8" borderId="0" xfId="0" applyFont="1" applyFill="1" applyBorder="1" applyAlignment="1"/>
    <xf numFmtId="0" fontId="15" fillId="0" borderId="27" xfId="0" applyFont="1" applyFill="1" applyBorder="1" applyAlignment="1"/>
    <xf numFmtId="0" fontId="15" fillId="0" borderId="40" xfId="0" applyFont="1" applyFill="1" applyBorder="1" applyAlignment="1"/>
    <xf numFmtId="0" fontId="9" fillId="9" borderId="0" xfId="0" applyFont="1" applyFill="1" applyBorder="1" applyAlignment="1"/>
    <xf numFmtId="0" fontId="18" fillId="7" borderId="0" xfId="0" applyFont="1" applyFill="1" applyBorder="1" applyAlignment="1"/>
    <xf numFmtId="0" fontId="15" fillId="0" borderId="26" xfId="0" applyFont="1" applyFill="1" applyBorder="1" applyAlignment="1">
      <alignment wrapText="1"/>
    </xf>
    <xf numFmtId="0" fontId="15" fillId="0" borderId="28" xfId="0" applyFont="1" applyFill="1" applyBorder="1" applyAlignment="1">
      <alignment wrapText="1"/>
    </xf>
    <xf numFmtId="0" fontId="15" fillId="0" borderId="43" xfId="0" applyFont="1" applyFill="1" applyBorder="1" applyAlignment="1">
      <alignment wrapText="1"/>
    </xf>
    <xf numFmtId="0" fontId="10" fillId="0" borderId="0" xfId="0" applyFont="1" applyFill="1" applyAlignment="1">
      <alignment wrapText="1"/>
    </xf>
    <xf numFmtId="0" fontId="20" fillId="0" borderId="0" xfId="0" applyFont="1" applyFill="1" applyBorder="1" applyAlignment="1"/>
    <xf numFmtId="0" fontId="15" fillId="0" borderId="44" xfId="0" applyFont="1" applyFill="1" applyBorder="1" applyAlignment="1"/>
    <xf numFmtId="0" fontId="15" fillId="0" borderId="45" xfId="0" applyFont="1" applyFill="1" applyBorder="1" applyAlignment="1"/>
    <xf numFmtId="0" fontId="15" fillId="0" borderId="46" xfId="0" applyFont="1" applyFill="1" applyBorder="1" applyAlignment="1"/>
    <xf numFmtId="0" fontId="15" fillId="0" borderId="47" xfId="0" applyFont="1" applyFill="1" applyBorder="1" applyAlignment="1"/>
    <xf numFmtId="0" fontId="15" fillId="0" borderId="48" xfId="0" applyFont="1" applyFill="1" applyBorder="1" applyAlignment="1"/>
    <xf numFmtId="0" fontId="11" fillId="0" borderId="0" xfId="0" applyFont="1" applyFill="1" applyBorder="1" applyAlignment="1"/>
    <xf numFmtId="0" fontId="18" fillId="0" borderId="0" xfId="0" applyFont="1" applyFill="1" applyBorder="1" applyAlignment="1">
      <alignment wrapText="1"/>
    </xf>
    <xf numFmtId="0" fontId="15" fillId="0" borderId="42" xfId="0" applyFont="1" applyFill="1" applyBorder="1" applyAlignment="1"/>
    <xf numFmtId="0" fontId="15" fillId="0" borderId="0" xfId="0" applyFont="1" applyFill="1" applyBorder="1" applyAlignment="1"/>
    <xf numFmtId="0" fontId="15" fillId="0" borderId="0" xfId="0" applyFont="1" applyFill="1" applyBorder="1" applyAlignment="1">
      <alignment wrapText="1"/>
    </xf>
    <xf numFmtId="0" fontId="10" fillId="0" borderId="0" xfId="0" applyFont="1" applyFill="1" applyBorder="1" applyAlignment="1"/>
    <xf numFmtId="0" fontId="10" fillId="0" borderId="38" xfId="0" applyFont="1" applyFill="1" applyBorder="1" applyAlignment="1">
      <alignment wrapText="1"/>
    </xf>
    <xf numFmtId="0" fontId="11" fillId="0" borderId="0" xfId="0" applyFont="1" applyFill="1" applyBorder="1" applyAlignment="1">
      <alignment wrapText="1"/>
    </xf>
    <xf numFmtId="0" fontId="10" fillId="0" borderId="0" xfId="0" applyFont="1" applyFill="1" applyBorder="1" applyAlignment="1">
      <alignment wrapText="1"/>
    </xf>
    <xf numFmtId="0" fontId="11" fillId="0" borderId="42" xfId="0" applyFont="1" applyFill="1" applyBorder="1" applyAlignment="1"/>
    <xf numFmtId="0" fontId="11" fillId="0" borderId="0" xfId="0" applyFont="1" applyFill="1" applyBorder="1" applyAlignment="1"/>
    <xf numFmtId="0" fontId="18" fillId="0" borderId="0" xfId="0" applyFont="1" applyFill="1" applyBorder="1" applyAlignment="1">
      <alignment wrapText="1"/>
    </xf>
    <xf numFmtId="0" fontId="15" fillId="0" borderId="42" xfId="0" applyFont="1" applyFill="1" applyBorder="1" applyAlignment="1"/>
    <xf numFmtId="0" fontId="15" fillId="0" borderId="0" xfId="0" applyFont="1" applyFill="1" applyBorder="1" applyAlignment="1"/>
    <xf numFmtId="0" fontId="15" fillId="0" borderId="0" xfId="0" applyFont="1" applyFill="1" applyBorder="1" applyAlignment="1">
      <alignment wrapText="1"/>
    </xf>
    <xf numFmtId="0" fontId="0" fillId="0" borderId="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8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6" fillId="3" borderId="0" xfId="0" applyFont="1" applyFill="1" applyBorder="1" applyAlignment="1">
      <alignment horizontal="center"/>
    </xf>
    <xf numFmtId="0" fontId="0" fillId="3" borderId="18" xfId="0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0" fillId="3" borderId="2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0" fillId="0" borderId="5" xfId="0" applyBorder="1" applyAlignment="1">
      <alignment horizontal="center"/>
    </xf>
    <xf numFmtId="0" fontId="10" fillId="0" borderId="0" xfId="0" applyFont="1" applyFill="1" applyBorder="1" applyAlignment="1"/>
    <xf numFmtId="0" fontId="10" fillId="0" borderId="39" xfId="0" applyFont="1" applyFill="1" applyBorder="1" applyAlignment="1">
      <alignment wrapText="1"/>
    </xf>
    <xf numFmtId="0" fontId="10" fillId="0" borderId="38" xfId="0" applyFont="1" applyFill="1" applyBorder="1" applyAlignment="1">
      <alignment wrapText="1"/>
    </xf>
    <xf numFmtId="0" fontId="10" fillId="0" borderId="39" xfId="0" applyFont="1" applyFill="1" applyBorder="1" applyAlignment="1"/>
    <xf numFmtId="0" fontId="10" fillId="0" borderId="38" xfId="0" applyFont="1" applyFill="1" applyBorder="1" applyAlignment="1"/>
    <xf numFmtId="0" fontId="11" fillId="0" borderId="35" xfId="0" applyFont="1" applyFill="1" applyBorder="1" applyAlignment="1">
      <alignment wrapText="1"/>
    </xf>
    <xf numFmtId="0" fontId="11" fillId="0" borderId="0" xfId="0" applyFont="1" applyFill="1" applyBorder="1" applyAlignment="1">
      <alignment wrapText="1"/>
    </xf>
    <xf numFmtId="0" fontId="10" fillId="0" borderId="36" xfId="0" applyFont="1" applyFill="1" applyBorder="1" applyAlignment="1">
      <alignment wrapText="1"/>
    </xf>
    <xf numFmtId="0" fontId="10" fillId="0" borderId="37" xfId="0" applyFont="1" applyFill="1" applyBorder="1" applyAlignment="1">
      <alignment wrapText="1"/>
    </xf>
    <xf numFmtId="0" fontId="10" fillId="0" borderId="42" xfId="0" applyFont="1" applyFill="1" applyBorder="1" applyAlignment="1"/>
    <xf numFmtId="0" fontId="10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stuardo BX" id="{17049EFB-AF23-43DC-9D19-70B8DF73D07F}" userId="2a31cb3f7a20a6b5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32" dT="2026-04-18T15:40:22.09" personId="{17049EFB-AF23-43DC-9D19-70B8DF73D07F}" id="{917488C9-6F51-487B-BECB-8B6AACBBE501}">
    <text>por 4.87  %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4" dT="2026-05-23T15:34:31.19" personId="{17049EFB-AF23-43DC-9D19-70B8DF73D07F}" id="{2E10B230-AD50-4012-9837-ACAB29114624}">
    <text>Se toman de todas las cuentas que generen perdidas o gancias</text>
  </threadedComment>
  <threadedComment ref="K4" dT="2026-05-23T15:36:53.72" personId="{17049EFB-AF23-43DC-9D19-70B8DF73D07F}" id="{795B27DF-ED67-421A-8C6C-E032580A5291}" parentId="{2E10B230-AD50-4012-9837-ACAB29114624}">
    <text>se toman del mayor</text>
  </threadedComment>
  <threadedComment ref="M4" dT="2026-05-23T15:42:41.70" personId="{17049EFB-AF23-43DC-9D19-70B8DF73D07F}" id="{A97ED5D4-029D-4ADD-9B7F-3E85F3BBF738}">
    <text xml:space="preserve">solo evaluar que active y pasivo
</text>
  </threadedComment>
  <threadedComment ref="L9" dT="2026-05-23T15:30:40.70" personId="{17049EFB-AF23-43DC-9D19-70B8DF73D07F}" id="{732FFA69-48BB-45BE-833A-809072EFD5EC}">
    <text xml:space="preserve">Se utiliza restando ventas a mercaderias en el libro mayor
</text>
  </threadedComment>
  <threadedComment ref="M9" dT="2026-05-23T15:45:38.28" personId="{17049EFB-AF23-43DC-9D19-70B8DF73D07F}" id="{3CBA150D-D3D3-464D-826E-BC3C9E4EB5A3}">
    <text>aqui colocamos lo restante en el de comprobacion</text>
  </threadedComment>
  <threadedComment ref="B47" dT="2026-05-23T15:40:08.09" personId="{17049EFB-AF23-43DC-9D19-70B8DF73D07F}" id="{19BFA94F-5C48-429E-B576-71879E6C65CD}">
    <text>se saca de retar de ganancia a perdida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1"/>
  <sheetViews>
    <sheetView topLeftCell="A3" zoomScale="132" zoomScaleNormal="148" workbookViewId="0">
      <selection activeCell="H67" sqref="H67"/>
    </sheetView>
  </sheetViews>
  <sheetFormatPr defaultColWidth="11.42578125" defaultRowHeight="14.45"/>
  <cols>
    <col min="2" max="2" width="5.140625" bestFit="1" customWidth="1"/>
    <col min="3" max="3" width="41.5703125" customWidth="1"/>
    <col min="4" max="4" width="2" customWidth="1"/>
    <col min="5" max="5" width="11.42578125" style="22"/>
    <col min="6" max="6" width="13" style="22" customWidth="1"/>
    <col min="8" max="8" width="19.7109375" bestFit="1" customWidth="1"/>
    <col min="14" max="14" width="36.5703125" bestFit="1" customWidth="1"/>
    <col min="15" max="16" width="17" bestFit="1" customWidth="1"/>
  </cols>
  <sheetData>
    <row r="1" spans="2:17">
      <c r="C1" s="11" t="s">
        <v>0</v>
      </c>
      <c r="D1" s="11"/>
    </row>
    <row r="2" spans="2:17" ht="15" thickBot="1">
      <c r="B2" s="5"/>
      <c r="C2" s="6"/>
      <c r="D2" s="6"/>
      <c r="E2" s="23"/>
      <c r="F2" s="23"/>
    </row>
    <row r="3" spans="2:17" ht="15" thickTop="1">
      <c r="B3" s="7"/>
      <c r="C3" s="200" t="s">
        <v>1</v>
      </c>
      <c r="D3" s="200"/>
      <c r="E3" s="200"/>
      <c r="F3" s="200"/>
    </row>
    <row r="4" spans="2:17">
      <c r="C4" s="201" t="s">
        <v>2</v>
      </c>
      <c r="D4" s="201"/>
      <c r="E4" s="201"/>
      <c r="F4" s="201"/>
    </row>
    <row r="5" spans="2:17" ht="15" thickBot="1">
      <c r="B5" s="1"/>
      <c r="C5" s="1"/>
      <c r="D5" s="1"/>
      <c r="E5" s="24"/>
      <c r="F5" s="25"/>
    </row>
    <row r="6" spans="2:17" ht="15.6" thickTop="1" thickBot="1">
      <c r="B6" s="4"/>
      <c r="C6" s="40" t="s">
        <v>3</v>
      </c>
      <c r="D6" s="12"/>
      <c r="E6" s="26"/>
      <c r="F6" s="26"/>
    </row>
    <row r="7" spans="2:17" ht="15" thickBot="1">
      <c r="B7" s="3"/>
      <c r="C7" s="8" t="s">
        <v>4</v>
      </c>
      <c r="D7" s="13"/>
      <c r="E7" s="27"/>
      <c r="F7" s="27"/>
    </row>
    <row r="8" spans="2:17" ht="15" thickBot="1">
      <c r="B8" s="3"/>
      <c r="C8" s="8" t="s">
        <v>5</v>
      </c>
      <c r="D8" s="14"/>
      <c r="E8" s="27"/>
      <c r="F8" s="27"/>
    </row>
    <row r="9" spans="2:17" ht="15" thickBot="1">
      <c r="B9" s="3"/>
      <c r="C9" s="36" t="s">
        <v>6</v>
      </c>
      <c r="D9" s="14"/>
      <c r="E9" s="27"/>
      <c r="F9" s="27"/>
    </row>
    <row r="10" spans="2:17">
      <c r="B10" s="3"/>
      <c r="C10" s="9" t="s">
        <v>7</v>
      </c>
      <c r="D10" s="14"/>
      <c r="E10" s="27">
        <v>4230</v>
      </c>
      <c r="F10" s="27"/>
    </row>
    <row r="11" spans="2:17" ht="15">
      <c r="B11" s="3"/>
      <c r="C11" s="8" t="s">
        <v>8</v>
      </c>
      <c r="D11" s="14"/>
      <c r="E11" s="28">
        <v>254.5</v>
      </c>
      <c r="F11" s="28">
        <v>4484.5</v>
      </c>
    </row>
    <row r="12" spans="2:17" ht="15">
      <c r="B12" s="3"/>
      <c r="C12" s="91" t="s">
        <v>9</v>
      </c>
      <c r="D12" s="14"/>
      <c r="E12" s="27"/>
      <c r="F12" s="27"/>
    </row>
    <row r="13" spans="2:17" ht="18.75" customHeight="1">
      <c r="B13" s="3"/>
      <c r="C13" s="92" t="s">
        <v>10</v>
      </c>
      <c r="D13" s="15"/>
      <c r="E13" s="27">
        <v>57940</v>
      </c>
      <c r="F13" s="27"/>
      <c r="M13" s="190"/>
      <c r="N13" s="193"/>
      <c r="O13" s="190"/>
      <c r="P13" s="190"/>
      <c r="Q13" s="190"/>
    </row>
    <row r="14" spans="2:17" ht="15">
      <c r="B14" s="3"/>
      <c r="C14" s="46" t="s">
        <v>11</v>
      </c>
      <c r="D14" s="16"/>
      <c r="E14" s="28">
        <v>46580</v>
      </c>
      <c r="F14" s="28">
        <v>104520</v>
      </c>
      <c r="M14" s="190"/>
      <c r="N14" s="96" t="s">
        <v>12</v>
      </c>
      <c r="O14" s="93" t="s">
        <v>13</v>
      </c>
      <c r="P14" s="93" t="s">
        <v>13</v>
      </c>
      <c r="Q14" s="190"/>
    </row>
    <row r="15" spans="2:17" ht="15">
      <c r="B15" s="3"/>
      <c r="C15" s="8" t="s">
        <v>14</v>
      </c>
      <c r="D15" s="14"/>
      <c r="E15" s="27"/>
      <c r="F15" s="27"/>
      <c r="M15" s="190"/>
      <c r="N15" s="97" t="s">
        <v>13</v>
      </c>
      <c r="O15" s="94" t="s">
        <v>13</v>
      </c>
      <c r="P15" s="94" t="s">
        <v>13</v>
      </c>
      <c r="Q15" s="190"/>
    </row>
    <row r="16" spans="2:17" ht="15" thickBot="1">
      <c r="B16" s="3"/>
      <c r="C16" s="8" t="s">
        <v>15</v>
      </c>
      <c r="D16" s="14"/>
      <c r="E16" s="27"/>
      <c r="F16" s="27"/>
      <c r="M16" s="190"/>
      <c r="N16" s="97" t="s">
        <v>6</v>
      </c>
      <c r="O16" s="94" t="s">
        <v>16</v>
      </c>
      <c r="P16" s="94" t="s">
        <v>13</v>
      </c>
      <c r="Q16" s="190"/>
    </row>
    <row r="17" spans="1:17" ht="30.75">
      <c r="B17" s="3"/>
      <c r="C17" s="30" t="s">
        <v>17</v>
      </c>
      <c r="D17" s="15"/>
      <c r="E17" s="27"/>
      <c r="F17" s="28">
        <v>8436.66</v>
      </c>
      <c r="M17" s="190"/>
      <c r="N17" s="97" t="s">
        <v>9</v>
      </c>
      <c r="O17" s="94" t="s">
        <v>18</v>
      </c>
      <c r="P17" s="94" t="s">
        <v>13</v>
      </c>
      <c r="Q17" s="190"/>
    </row>
    <row r="18" spans="1:17" ht="15">
      <c r="B18" s="2"/>
      <c r="C18" s="47" t="s">
        <v>19</v>
      </c>
      <c r="D18" s="15"/>
      <c r="E18" s="27"/>
      <c r="F18" s="27"/>
      <c r="M18" s="190"/>
      <c r="N18" s="97" t="s">
        <v>20</v>
      </c>
      <c r="O18" s="94" t="s">
        <v>21</v>
      </c>
      <c r="P18" s="94" t="s">
        <v>13</v>
      </c>
      <c r="Q18" s="190"/>
    </row>
    <row r="19" spans="1:17" ht="15" thickBot="1">
      <c r="A19" s="2"/>
      <c r="B19" s="2"/>
      <c r="C19" s="37" t="s">
        <v>22</v>
      </c>
      <c r="D19" s="17"/>
      <c r="E19" s="27"/>
      <c r="F19" s="27"/>
      <c r="M19" s="190"/>
      <c r="N19" s="97" t="s">
        <v>23</v>
      </c>
      <c r="O19" s="94" t="s">
        <v>24</v>
      </c>
      <c r="P19" s="94" t="s">
        <v>13</v>
      </c>
      <c r="Q19" s="190"/>
    </row>
    <row r="20" spans="1:17" ht="15" thickBot="1">
      <c r="A20" s="2"/>
      <c r="B20" s="2"/>
      <c r="C20" s="37" t="s">
        <v>25</v>
      </c>
      <c r="D20" s="17"/>
      <c r="E20" s="27"/>
      <c r="F20" s="27"/>
      <c r="M20" s="190"/>
      <c r="N20" s="97" t="s">
        <v>26</v>
      </c>
      <c r="O20" s="94" t="s">
        <v>27</v>
      </c>
      <c r="P20" s="94" t="s">
        <v>13</v>
      </c>
      <c r="Q20" s="190"/>
    </row>
    <row r="21" spans="1:17" ht="15" thickBot="1">
      <c r="A21" s="2"/>
      <c r="B21" s="2">
        <v>100</v>
      </c>
      <c r="C21" s="8" t="s">
        <v>28</v>
      </c>
      <c r="D21" s="17"/>
      <c r="E21" s="27">
        <v>6025</v>
      </c>
      <c r="F21" s="27"/>
      <c r="M21" s="190"/>
      <c r="N21" s="97" t="s">
        <v>29</v>
      </c>
      <c r="O21" s="94" t="s">
        <v>30</v>
      </c>
      <c r="P21" s="94" t="s">
        <v>13</v>
      </c>
      <c r="Q21" s="190"/>
    </row>
    <row r="22" spans="1:17" ht="15">
      <c r="A22" s="2"/>
      <c r="B22" s="2">
        <v>100</v>
      </c>
      <c r="C22" s="20" t="s">
        <v>31</v>
      </c>
      <c r="D22" s="15"/>
      <c r="E22" s="27">
        <v>5475</v>
      </c>
      <c r="F22" s="27"/>
      <c r="M22" s="190"/>
      <c r="N22" s="97" t="s">
        <v>32</v>
      </c>
      <c r="O22" s="94" t="s">
        <v>33</v>
      </c>
      <c r="P22" s="94" t="s">
        <v>13</v>
      </c>
      <c r="Q22" s="190"/>
    </row>
    <row r="23" spans="1:17" ht="15">
      <c r="A23" s="2"/>
      <c r="B23" s="2">
        <v>100</v>
      </c>
      <c r="C23" s="10" t="s">
        <v>34</v>
      </c>
      <c r="D23" s="17"/>
      <c r="E23" s="27">
        <v>4050</v>
      </c>
      <c r="F23" s="27">
        <v>15550</v>
      </c>
      <c r="M23" s="190"/>
      <c r="N23" s="97" t="s">
        <v>35</v>
      </c>
      <c r="O23" s="94" t="s">
        <v>13</v>
      </c>
      <c r="P23" s="94" t="s">
        <v>36</v>
      </c>
      <c r="Q23" s="190"/>
    </row>
    <row r="24" spans="1:17" ht="15" thickBot="1">
      <c r="A24" s="2"/>
      <c r="B24" s="2"/>
      <c r="C24" s="37" t="s">
        <v>37</v>
      </c>
      <c r="D24" s="17"/>
      <c r="E24" s="27"/>
      <c r="F24" s="27"/>
      <c r="M24" s="190"/>
      <c r="N24" s="97" t="s">
        <v>38</v>
      </c>
      <c r="O24" s="94" t="s">
        <v>13</v>
      </c>
      <c r="P24" s="94" t="s">
        <v>39</v>
      </c>
      <c r="Q24" s="190"/>
    </row>
    <row r="25" spans="1:17" ht="15">
      <c r="A25" s="2"/>
      <c r="B25" s="2">
        <v>100</v>
      </c>
      <c r="C25" s="20" t="s">
        <v>40</v>
      </c>
      <c r="D25" s="17"/>
      <c r="E25" s="27">
        <v>4175</v>
      </c>
      <c r="F25" s="27"/>
      <c r="M25" s="190"/>
      <c r="N25" s="97" t="s">
        <v>41</v>
      </c>
      <c r="O25" s="94" t="s">
        <v>13</v>
      </c>
      <c r="P25" s="94" t="s">
        <v>42</v>
      </c>
      <c r="Q25" s="190"/>
    </row>
    <row r="26" spans="1:17" ht="30.75">
      <c r="A26" s="2"/>
      <c r="B26" s="2">
        <v>100</v>
      </c>
      <c r="C26" s="20" t="s">
        <v>43</v>
      </c>
      <c r="D26" s="14"/>
      <c r="E26" s="27">
        <v>3700</v>
      </c>
      <c r="F26" s="27"/>
      <c r="M26" s="190"/>
      <c r="N26" s="97" t="s">
        <v>44</v>
      </c>
      <c r="O26" s="94" t="s">
        <v>13</v>
      </c>
      <c r="P26" s="94" t="s">
        <v>45</v>
      </c>
      <c r="Q26" s="190"/>
    </row>
    <row r="27" spans="1:17" ht="30.75">
      <c r="A27" s="2"/>
      <c r="B27" s="2">
        <v>90</v>
      </c>
      <c r="C27" s="20" t="s">
        <v>46</v>
      </c>
      <c r="D27" s="14"/>
      <c r="E27" s="22">
        <v>2925</v>
      </c>
      <c r="F27" s="27">
        <v>10800</v>
      </c>
      <c r="M27" s="190"/>
      <c r="N27" s="97" t="s">
        <v>47</v>
      </c>
      <c r="O27" s="94" t="s">
        <v>13</v>
      </c>
      <c r="P27" s="94" t="s">
        <v>48</v>
      </c>
      <c r="Q27" s="190"/>
    </row>
    <row r="28" spans="1:17" ht="15">
      <c r="A28" s="2"/>
      <c r="B28" s="2"/>
      <c r="C28" s="37" t="s">
        <v>49</v>
      </c>
      <c r="D28" s="14"/>
      <c r="E28" s="27"/>
      <c r="F28" s="27"/>
      <c r="M28" s="190"/>
      <c r="N28" s="98" t="s">
        <v>50</v>
      </c>
      <c r="O28" s="95" t="s">
        <v>51</v>
      </c>
      <c r="P28" s="95" t="s">
        <v>13</v>
      </c>
      <c r="Q28" s="190"/>
    </row>
    <row r="29" spans="1:17" ht="15">
      <c r="A29" s="2"/>
      <c r="B29" s="2">
        <v>100</v>
      </c>
      <c r="C29" s="20" t="s">
        <v>52</v>
      </c>
      <c r="D29" s="14"/>
      <c r="E29" s="27">
        <v>750</v>
      </c>
      <c r="F29" s="27"/>
      <c r="M29" s="190"/>
      <c r="N29" s="98" t="s">
        <v>53</v>
      </c>
      <c r="O29" s="95" t="s">
        <v>13</v>
      </c>
      <c r="P29" s="95" t="s">
        <v>54</v>
      </c>
      <c r="Q29" s="190"/>
    </row>
    <row r="30" spans="1:17" ht="15">
      <c r="A30" s="2"/>
      <c r="B30" s="2">
        <v>100</v>
      </c>
      <c r="C30" s="20" t="s">
        <v>55</v>
      </c>
      <c r="D30" s="14"/>
      <c r="E30" s="27">
        <v>625</v>
      </c>
      <c r="F30" s="27"/>
      <c r="M30" s="190"/>
      <c r="N30" s="193"/>
      <c r="O30" s="190"/>
      <c r="P30" s="190"/>
      <c r="Q30" s="190"/>
    </row>
    <row r="31" spans="1:17" ht="15">
      <c r="A31" s="2"/>
      <c r="B31" s="2">
        <v>100</v>
      </c>
      <c r="C31" s="10" t="s">
        <v>56</v>
      </c>
      <c r="D31" s="17"/>
      <c r="E31" s="27">
        <v>500</v>
      </c>
      <c r="F31" s="27">
        <v>1875</v>
      </c>
      <c r="M31" s="190"/>
      <c r="N31" s="193"/>
      <c r="O31" s="190"/>
      <c r="P31" s="190"/>
      <c r="Q31" s="190"/>
    </row>
    <row r="32" spans="1:17" ht="15" thickBot="1">
      <c r="A32" s="2"/>
      <c r="B32" s="2"/>
      <c r="C32" s="37" t="s">
        <v>57</v>
      </c>
      <c r="D32" s="17"/>
      <c r="E32" s="27"/>
      <c r="F32" s="27"/>
      <c r="M32" s="190"/>
      <c r="N32" s="193"/>
      <c r="O32" s="190"/>
      <c r="P32" s="190"/>
      <c r="Q32" s="190"/>
    </row>
    <row r="33" spans="1:6" ht="15">
      <c r="A33" s="2"/>
      <c r="B33" s="2">
        <v>75</v>
      </c>
      <c r="C33" s="10" t="s">
        <v>58</v>
      </c>
      <c r="D33" s="17"/>
      <c r="E33" s="27">
        <v>1687.5</v>
      </c>
      <c r="F33" s="27"/>
    </row>
    <row r="34" spans="1:6" ht="15">
      <c r="A34" s="2"/>
      <c r="B34" s="2">
        <v>75</v>
      </c>
      <c r="C34" s="10" t="s">
        <v>59</v>
      </c>
      <c r="D34" s="17"/>
      <c r="E34" s="27">
        <v>1350</v>
      </c>
      <c r="F34" s="27">
        <v>3037.5</v>
      </c>
    </row>
    <row r="35" spans="1:6" ht="15" thickBot="1">
      <c r="A35" s="2"/>
      <c r="B35" s="2"/>
      <c r="C35" s="37" t="s">
        <v>60</v>
      </c>
      <c r="D35" s="17"/>
      <c r="E35" s="27"/>
      <c r="F35" s="27"/>
    </row>
    <row r="36" spans="1:6" ht="15">
      <c r="A36" s="2"/>
      <c r="B36" s="2">
        <v>75</v>
      </c>
      <c r="C36" s="10" t="s">
        <v>61</v>
      </c>
      <c r="D36" s="14"/>
      <c r="E36" s="27">
        <v>1987.5</v>
      </c>
      <c r="F36" s="27"/>
    </row>
    <row r="37" spans="1:6" ht="15">
      <c r="A37" s="2"/>
      <c r="B37" s="2">
        <v>75</v>
      </c>
      <c r="C37" s="10" t="s">
        <v>62</v>
      </c>
      <c r="D37" s="17"/>
      <c r="E37" s="27">
        <v>1818.75</v>
      </c>
      <c r="F37" s="27"/>
    </row>
    <row r="38" spans="1:6" ht="15">
      <c r="A38" s="2"/>
      <c r="B38" s="2">
        <v>75</v>
      </c>
      <c r="C38" s="10" t="s">
        <v>63</v>
      </c>
      <c r="D38" s="17"/>
      <c r="E38" s="27">
        <v>1706.25</v>
      </c>
      <c r="F38" s="27">
        <v>5512.5</v>
      </c>
    </row>
    <row r="39" spans="1:6" ht="15" thickBot="1">
      <c r="A39" s="2"/>
      <c r="B39" s="2"/>
      <c r="C39" s="37" t="s">
        <v>64</v>
      </c>
      <c r="D39" s="14"/>
      <c r="E39" s="27"/>
      <c r="F39" s="27"/>
    </row>
    <row r="40" spans="1:6" ht="15">
      <c r="A40" s="2"/>
      <c r="B40" s="2">
        <v>90</v>
      </c>
      <c r="C40" s="10" t="s">
        <v>65</v>
      </c>
      <c r="D40" s="18"/>
      <c r="E40" s="27">
        <v>3150</v>
      </c>
      <c r="F40" s="27"/>
    </row>
    <row r="41" spans="1:6" ht="15">
      <c r="A41" s="2"/>
      <c r="B41" s="2">
        <v>90</v>
      </c>
      <c r="C41" s="10" t="s">
        <v>66</v>
      </c>
      <c r="D41" s="17"/>
      <c r="E41" s="27">
        <v>2317.5</v>
      </c>
      <c r="F41" s="27">
        <v>5467.5</v>
      </c>
    </row>
    <row r="42" spans="1:6" ht="15" thickBot="1">
      <c r="A42" s="2"/>
      <c r="B42" s="2"/>
      <c r="C42" s="37" t="s">
        <v>67</v>
      </c>
      <c r="D42" s="17"/>
      <c r="E42" s="27"/>
      <c r="F42" s="27"/>
    </row>
    <row r="43" spans="1:6" ht="15">
      <c r="A43" s="2"/>
      <c r="B43" s="2">
        <v>80</v>
      </c>
      <c r="C43" s="10" t="s">
        <v>68</v>
      </c>
      <c r="D43" s="17"/>
      <c r="E43" s="27">
        <v>2600</v>
      </c>
      <c r="F43" s="27"/>
    </row>
    <row r="44" spans="1:6" ht="15">
      <c r="A44" s="2"/>
      <c r="B44" s="2">
        <v>80</v>
      </c>
      <c r="C44" s="10" t="s">
        <v>69</v>
      </c>
      <c r="D44" s="17"/>
      <c r="E44" s="27">
        <v>2260</v>
      </c>
      <c r="F44" s="27"/>
    </row>
    <row r="45" spans="1:6" ht="15" thickBot="1">
      <c r="A45" s="2"/>
      <c r="B45" s="2">
        <v>80</v>
      </c>
      <c r="C45" s="21" t="s">
        <v>70</v>
      </c>
      <c r="D45" s="14"/>
      <c r="E45" s="27">
        <v>1900</v>
      </c>
      <c r="F45" s="27">
        <v>6760</v>
      </c>
    </row>
    <row r="46" spans="1:6" ht="15" thickBot="1">
      <c r="A46" s="2"/>
      <c r="B46" s="2"/>
      <c r="C46" s="37" t="s">
        <v>71</v>
      </c>
      <c r="D46" s="14"/>
      <c r="E46" s="27"/>
      <c r="F46" s="27"/>
    </row>
    <row r="47" spans="1:6" ht="15" thickBot="1">
      <c r="A47" s="2"/>
      <c r="B47" s="2">
        <v>60</v>
      </c>
      <c r="C47" s="10" t="s">
        <v>72</v>
      </c>
      <c r="D47" s="17"/>
      <c r="E47" s="28">
        <v>765</v>
      </c>
      <c r="F47" s="28">
        <v>49767.5</v>
      </c>
    </row>
    <row r="48" spans="1:6" ht="15.6" thickTop="1" thickBot="1">
      <c r="A48" s="2"/>
      <c r="B48" s="2"/>
      <c r="C48" s="37" t="s">
        <v>73</v>
      </c>
      <c r="D48" s="17"/>
      <c r="E48" s="27"/>
      <c r="F48" s="27"/>
    </row>
    <row r="49" spans="1:8" ht="15">
      <c r="A49" s="2"/>
      <c r="B49" s="2">
        <v>1000</v>
      </c>
      <c r="C49" s="10" t="s">
        <v>74</v>
      </c>
      <c r="D49" s="17"/>
      <c r="E49" s="27">
        <v>280</v>
      </c>
      <c r="F49" s="27"/>
    </row>
    <row r="50" spans="1:8" ht="15">
      <c r="A50" s="2"/>
      <c r="B50" s="2">
        <v>100</v>
      </c>
      <c r="C50" s="10" t="s">
        <v>75</v>
      </c>
      <c r="D50" s="17"/>
      <c r="E50" s="27">
        <v>560</v>
      </c>
      <c r="F50" s="27"/>
    </row>
    <row r="51" spans="1:8" ht="15">
      <c r="A51" s="2"/>
      <c r="B51" s="2">
        <v>10</v>
      </c>
      <c r="C51" s="10" t="s">
        <v>76</v>
      </c>
      <c r="D51" s="17"/>
      <c r="E51" s="27">
        <v>28</v>
      </c>
      <c r="F51" s="27"/>
    </row>
    <row r="52" spans="1:8" ht="15" thickBot="1">
      <c r="A52" s="2"/>
      <c r="B52" s="2">
        <v>2</v>
      </c>
      <c r="C52" s="21" t="s">
        <v>77</v>
      </c>
      <c r="D52" s="17"/>
      <c r="E52" s="28">
        <v>168</v>
      </c>
      <c r="F52" s="28">
        <v>1036</v>
      </c>
    </row>
    <row r="53" spans="1:8" ht="15" thickBot="1">
      <c r="A53" s="2"/>
      <c r="B53" s="2"/>
      <c r="C53" s="8" t="s">
        <v>78</v>
      </c>
      <c r="D53" s="14"/>
      <c r="E53" s="27"/>
      <c r="F53" s="27"/>
    </row>
    <row r="54" spans="1:8" ht="15" thickBot="1">
      <c r="A54" s="2"/>
      <c r="B54" s="2"/>
      <c r="C54" s="38" t="s">
        <v>79</v>
      </c>
      <c r="D54" s="14"/>
      <c r="E54" s="27"/>
      <c r="F54" s="27"/>
    </row>
    <row r="55" spans="1:8" ht="30.75">
      <c r="A55" s="2"/>
      <c r="B55" s="2">
        <v>4</v>
      </c>
      <c r="C55" s="10" t="s">
        <v>80</v>
      </c>
      <c r="D55" s="17"/>
      <c r="E55" s="27">
        <v>3161</v>
      </c>
      <c r="F55" s="27"/>
    </row>
    <row r="56" spans="1:8" ht="15">
      <c r="A56" s="2"/>
      <c r="B56" s="2">
        <v>5</v>
      </c>
      <c r="C56" s="10" t="s">
        <v>81</v>
      </c>
      <c r="D56" s="17"/>
      <c r="E56" s="27">
        <v>2900</v>
      </c>
      <c r="F56" s="27"/>
    </row>
    <row r="57" spans="1:8" ht="15">
      <c r="A57" s="2"/>
      <c r="B57" s="2">
        <v>1</v>
      </c>
      <c r="C57" s="10" t="s">
        <v>82</v>
      </c>
      <c r="D57" s="19"/>
      <c r="E57" s="27">
        <v>4580</v>
      </c>
    </row>
    <row r="58" spans="1:8" ht="15" thickBot="1">
      <c r="A58" s="2"/>
      <c r="B58" s="2">
        <v>2</v>
      </c>
      <c r="C58" s="21" t="s">
        <v>83</v>
      </c>
      <c r="D58" s="14"/>
      <c r="E58" s="27">
        <v>1300</v>
      </c>
    </row>
    <row r="59" spans="1:8" ht="30.75">
      <c r="A59" s="2"/>
      <c r="B59" s="2">
        <v>2</v>
      </c>
      <c r="C59" s="21" t="s">
        <v>84</v>
      </c>
      <c r="D59" s="14"/>
      <c r="E59" s="27">
        <v>1440.5</v>
      </c>
    </row>
    <row r="60" spans="1:8" ht="15" thickBot="1">
      <c r="A60" s="2"/>
      <c r="B60" s="2">
        <v>2</v>
      </c>
      <c r="C60" s="20" t="s">
        <v>85</v>
      </c>
      <c r="D60" s="14"/>
      <c r="E60" s="28">
        <v>1051.5</v>
      </c>
      <c r="F60" s="28">
        <v>14433</v>
      </c>
    </row>
    <row r="61" spans="1:8" ht="15">
      <c r="A61" s="2"/>
      <c r="B61" s="2"/>
      <c r="C61" s="38" t="s">
        <v>86</v>
      </c>
      <c r="D61" s="14"/>
      <c r="E61" s="27"/>
      <c r="F61" s="27"/>
    </row>
    <row r="62" spans="1:8" ht="15">
      <c r="A62" s="2"/>
      <c r="B62" s="2"/>
      <c r="C62" s="20" t="s">
        <v>87</v>
      </c>
      <c r="D62" s="14"/>
      <c r="E62" s="22">
        <v>4125</v>
      </c>
      <c r="F62" s="27"/>
    </row>
    <row r="63" spans="1:8" ht="15" thickBot="1">
      <c r="A63" s="2"/>
      <c r="B63" s="2"/>
      <c r="C63" s="20" t="s">
        <v>88</v>
      </c>
      <c r="D63" s="14"/>
      <c r="E63" s="28">
        <v>580</v>
      </c>
      <c r="F63" s="28">
        <v>4705</v>
      </c>
      <c r="H63" s="29"/>
    </row>
    <row r="64" spans="1:8" ht="15">
      <c r="A64" s="2"/>
      <c r="B64" s="2"/>
      <c r="C64" s="38" t="s">
        <v>89</v>
      </c>
      <c r="D64" s="14"/>
      <c r="E64" s="27"/>
      <c r="F64" s="27"/>
    </row>
    <row r="65" spans="1:8" ht="30.75">
      <c r="A65" s="2"/>
      <c r="B65" s="2"/>
      <c r="C65" s="21" t="s">
        <v>90</v>
      </c>
      <c r="D65" s="14"/>
      <c r="E65" s="27">
        <v>200</v>
      </c>
      <c r="F65" s="27"/>
    </row>
    <row r="66" spans="1:8" ht="15">
      <c r="A66" s="2"/>
      <c r="B66" s="2"/>
      <c r="C66" s="20" t="s">
        <v>91</v>
      </c>
      <c r="D66" s="14"/>
      <c r="E66" s="27">
        <v>50</v>
      </c>
      <c r="F66" s="27"/>
    </row>
    <row r="67" spans="1:8" ht="60.75">
      <c r="A67" s="2"/>
      <c r="B67" s="2"/>
      <c r="C67" s="20" t="s">
        <v>92</v>
      </c>
      <c r="D67" s="14"/>
      <c r="E67" s="27">
        <v>300</v>
      </c>
      <c r="F67" s="27"/>
    </row>
    <row r="68" spans="1:8" ht="15">
      <c r="A68" s="2"/>
      <c r="B68" s="2"/>
      <c r="C68" s="20" t="s">
        <v>93</v>
      </c>
      <c r="D68" s="14"/>
      <c r="E68" s="27">
        <v>800</v>
      </c>
      <c r="F68" s="27"/>
    </row>
    <row r="69" spans="1:8" ht="15" thickBot="1">
      <c r="A69" s="2"/>
      <c r="B69" s="2"/>
      <c r="C69" s="20" t="s">
        <v>94</v>
      </c>
      <c r="D69" s="14"/>
      <c r="E69" s="28">
        <v>1400</v>
      </c>
      <c r="F69" s="28">
        <v>2750</v>
      </c>
    </row>
    <row r="70" spans="1:8" ht="15">
      <c r="A70" s="2"/>
      <c r="B70" s="2"/>
      <c r="C70" s="39" t="s">
        <v>95</v>
      </c>
      <c r="D70" s="14"/>
      <c r="E70" s="27"/>
      <c r="F70" s="42">
        <v>190132.66</v>
      </c>
      <c r="H70" s="22"/>
    </row>
    <row r="71" spans="1:8" ht="15" thickBot="1">
      <c r="A71" s="2"/>
      <c r="B71" s="2"/>
      <c r="C71" s="40" t="s">
        <v>96</v>
      </c>
      <c r="D71" s="19"/>
      <c r="E71" s="27"/>
      <c r="F71" s="27"/>
    </row>
    <row r="72" spans="1:8" ht="15" thickBot="1">
      <c r="A72" s="2"/>
      <c r="B72" s="2"/>
      <c r="C72" s="37" t="s">
        <v>97</v>
      </c>
      <c r="D72" s="14"/>
      <c r="E72" s="27"/>
      <c r="F72" s="27"/>
    </row>
    <row r="73" spans="1:8" ht="15" thickBot="1">
      <c r="A73" s="2"/>
      <c r="B73" s="2"/>
      <c r="C73" s="37" t="s">
        <v>98</v>
      </c>
      <c r="D73" s="14"/>
      <c r="E73" s="27"/>
      <c r="F73" s="27"/>
    </row>
    <row r="74" spans="1:8" ht="15">
      <c r="A74" s="2"/>
      <c r="B74" s="2"/>
      <c r="C74" s="20" t="s">
        <v>99</v>
      </c>
      <c r="D74" s="19"/>
      <c r="E74" s="27">
        <v>12000</v>
      </c>
      <c r="F74" s="27"/>
    </row>
    <row r="75" spans="1:8" ht="15" thickBot="1">
      <c r="A75" s="2"/>
      <c r="B75" s="2"/>
      <c r="C75" s="20" t="s">
        <v>100</v>
      </c>
      <c r="D75" s="14"/>
      <c r="E75" s="28">
        <v>8000</v>
      </c>
      <c r="F75" s="28">
        <v>20000</v>
      </c>
    </row>
    <row r="76" spans="1:8" ht="15.6" thickTop="1" thickBot="1">
      <c r="A76" s="2"/>
      <c r="B76" s="2"/>
      <c r="C76" s="37" t="s">
        <v>101</v>
      </c>
      <c r="D76" s="14"/>
      <c r="E76" s="27"/>
      <c r="F76" s="27"/>
    </row>
    <row r="77" spans="1:8" ht="30.75">
      <c r="A77" s="2"/>
      <c r="B77" s="2">
        <v>3</v>
      </c>
      <c r="C77" s="20" t="s">
        <v>102</v>
      </c>
      <c r="D77" s="14"/>
      <c r="E77" s="27"/>
      <c r="F77" s="27">
        <v>3000</v>
      </c>
    </row>
    <row r="78" spans="1:8" ht="15" thickBot="1">
      <c r="A78" s="2"/>
      <c r="B78" s="2"/>
      <c r="C78" s="37" t="s">
        <v>103</v>
      </c>
      <c r="D78" s="14"/>
      <c r="E78" s="27"/>
      <c r="F78" s="27"/>
    </row>
    <row r="79" spans="1:8" ht="30.75">
      <c r="A79" s="2"/>
      <c r="B79" s="2"/>
      <c r="C79" s="20" t="s">
        <v>104</v>
      </c>
      <c r="D79" s="19"/>
      <c r="E79" s="27"/>
      <c r="F79" s="27">
        <v>721.65</v>
      </c>
    </row>
    <row r="80" spans="1:8" ht="30.75">
      <c r="A80" s="2"/>
      <c r="B80" s="2"/>
      <c r="C80" s="38" t="s">
        <v>105</v>
      </c>
      <c r="D80" s="14"/>
      <c r="E80" s="27"/>
    </row>
    <row r="81" spans="1:8" ht="30.75">
      <c r="A81" s="2"/>
      <c r="B81" s="2"/>
      <c r="C81" s="20" t="s">
        <v>106</v>
      </c>
      <c r="D81" s="14"/>
      <c r="E81" s="27"/>
      <c r="F81" s="27">
        <v>70</v>
      </c>
      <c r="G81" s="41"/>
    </row>
    <row r="82" spans="1:8" ht="30.75">
      <c r="A82" s="2"/>
      <c r="B82" s="2"/>
      <c r="C82" s="38" t="s">
        <v>107</v>
      </c>
      <c r="D82" s="19"/>
      <c r="E82" s="27"/>
    </row>
    <row r="83" spans="1:8" ht="30.75">
      <c r="C83" s="20" t="s">
        <v>108</v>
      </c>
      <c r="E83" s="27"/>
      <c r="F83" s="27">
        <v>168</v>
      </c>
    </row>
    <row r="84" spans="1:8" ht="15" thickBot="1">
      <c r="C84" s="39" t="s">
        <v>109</v>
      </c>
      <c r="E84" s="27"/>
      <c r="F84" s="42">
        <v>23959.65</v>
      </c>
    </row>
    <row r="85" spans="1:8">
      <c r="C85" s="20" t="s">
        <v>50</v>
      </c>
      <c r="E85" s="27"/>
      <c r="F85" s="27">
        <v>166173.01</v>
      </c>
      <c r="H85" s="22"/>
    </row>
    <row r="86" spans="1:8">
      <c r="C86" s="20" t="s">
        <v>53</v>
      </c>
      <c r="E86" s="27"/>
      <c r="F86" s="27" t="s">
        <v>110</v>
      </c>
      <c r="H86" s="22"/>
    </row>
    <row r="87" spans="1:8">
      <c r="E87" s="27"/>
      <c r="F87" s="27"/>
    </row>
    <row r="88" spans="1:8" ht="81.75" customHeight="1">
      <c r="C88" s="202" t="s">
        <v>111</v>
      </c>
      <c r="D88" s="203"/>
      <c r="E88" s="203"/>
      <c r="F88" s="203"/>
    </row>
    <row r="89" spans="1:8">
      <c r="C89" s="20"/>
      <c r="E89" s="27"/>
      <c r="F89" s="27"/>
    </row>
    <row r="90" spans="1:8">
      <c r="C90" s="20" t="s">
        <v>112</v>
      </c>
      <c r="E90" s="27"/>
      <c r="F90" s="27"/>
    </row>
    <row r="91" spans="1:8" ht="15">
      <c r="C91" s="20" t="s">
        <v>113</v>
      </c>
      <c r="E91" s="27"/>
      <c r="F91" s="27"/>
    </row>
    <row r="92" spans="1:8" ht="15">
      <c r="C92" s="20" t="s">
        <v>114</v>
      </c>
      <c r="E92" s="27"/>
      <c r="F92" s="27"/>
    </row>
    <row r="93" spans="1:8">
      <c r="C93" s="20"/>
      <c r="E93" s="27"/>
      <c r="F93" s="27"/>
    </row>
    <row r="94" spans="1:8">
      <c r="C94" s="20"/>
      <c r="E94" s="27"/>
      <c r="F94" s="27"/>
    </row>
    <row r="95" spans="1:8">
      <c r="C95" s="20"/>
      <c r="E95" s="27"/>
      <c r="F95" s="27"/>
    </row>
    <row r="96" spans="1:8">
      <c r="C96" s="20" t="s">
        <v>112</v>
      </c>
      <c r="E96" s="27"/>
      <c r="F96" s="27"/>
    </row>
    <row r="97" spans="3:8">
      <c r="C97" s="20" t="s">
        <v>115</v>
      </c>
      <c r="E97" s="27"/>
      <c r="F97" s="27"/>
    </row>
    <row r="98" spans="3:8">
      <c r="C98" s="20" t="s">
        <v>116</v>
      </c>
      <c r="E98" s="27"/>
      <c r="F98" s="27"/>
    </row>
    <row r="99" spans="3:8">
      <c r="C99" s="20"/>
      <c r="E99" s="27"/>
      <c r="F99" s="27"/>
    </row>
    <row r="100" spans="3:8" ht="15" thickBot="1">
      <c r="C100" s="20"/>
      <c r="E100" s="31"/>
      <c r="F100" s="27"/>
      <c r="H100" s="22"/>
    </row>
    <row r="101" spans="3:8" ht="66.75" customHeight="1" thickTop="1">
      <c r="C101" s="202"/>
      <c r="D101" s="203"/>
      <c r="E101" s="203"/>
      <c r="F101" s="203"/>
    </row>
    <row r="102" spans="3:8">
      <c r="C102" s="32"/>
    </row>
    <row r="103" spans="3:8">
      <c r="C103" s="203"/>
      <c r="D103" s="203"/>
      <c r="E103" s="203"/>
      <c r="F103" s="203"/>
    </row>
    <row r="105" spans="3:8" ht="15" thickBot="1">
      <c r="E105" s="33" t="s">
        <v>112</v>
      </c>
      <c r="F105" s="33"/>
    </row>
    <row r="106" spans="3:8" ht="15" thickTop="1">
      <c r="E106" s="22" t="s">
        <v>117</v>
      </c>
      <c r="F106" s="34"/>
    </row>
    <row r="107" spans="3:8">
      <c r="E107" s="22" t="s">
        <v>118</v>
      </c>
    </row>
    <row r="109" spans="3:8" ht="15" thickBot="1">
      <c r="C109" s="33" t="s">
        <v>112</v>
      </c>
      <c r="D109" s="33"/>
    </row>
    <row r="110" spans="3:8" ht="15" thickTop="1">
      <c r="C110" t="s">
        <v>119</v>
      </c>
    </row>
    <row r="111" spans="3:8">
      <c r="C111" t="s">
        <v>120</v>
      </c>
    </row>
  </sheetData>
  <mergeCells count="5">
    <mergeCell ref="C3:F3"/>
    <mergeCell ref="C4:F4"/>
    <mergeCell ref="C101:F101"/>
    <mergeCell ref="C103:F103"/>
    <mergeCell ref="C88:F88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"/>
  <sheetViews>
    <sheetView topLeftCell="A27" workbookViewId="0">
      <selection activeCell="C39" sqref="C39:C41"/>
    </sheetView>
  </sheetViews>
  <sheetFormatPr defaultColWidth="11.42578125" defaultRowHeight="14.45"/>
  <cols>
    <col min="1" max="1" width="8.42578125" customWidth="1"/>
    <col min="2" max="2" width="3.140625" customWidth="1"/>
    <col min="3" max="3" width="25.7109375" bestFit="1" customWidth="1"/>
    <col min="5" max="5" width="2" customWidth="1"/>
  </cols>
  <sheetData>
    <row r="1" spans="1:9">
      <c r="B1" s="43" t="s">
        <v>121</v>
      </c>
      <c r="C1" s="43"/>
      <c r="D1" s="43"/>
      <c r="E1" s="43"/>
      <c r="F1" s="43"/>
      <c r="G1" s="43"/>
      <c r="H1" s="43"/>
    </row>
    <row r="2" spans="1:9" ht="15" thickBot="1">
      <c r="A2" s="209" t="s">
        <v>122</v>
      </c>
      <c r="B2" s="209"/>
      <c r="C2" s="209"/>
      <c r="D2" s="209"/>
      <c r="E2" s="209"/>
      <c r="F2" s="209"/>
      <c r="G2" s="209"/>
      <c r="H2" s="209"/>
      <c r="I2" s="209"/>
    </row>
    <row r="3" spans="1:9" ht="15" thickTop="1">
      <c r="A3" t="s">
        <v>123</v>
      </c>
      <c r="B3" s="43"/>
      <c r="C3" s="44"/>
      <c r="D3" s="204"/>
      <c r="E3" s="204"/>
      <c r="F3" s="204"/>
      <c r="G3" s="204"/>
      <c r="H3" s="43"/>
      <c r="I3" s="32"/>
    </row>
    <row r="4" spans="1:9">
      <c r="A4" t="s">
        <v>124</v>
      </c>
      <c r="B4" s="43"/>
      <c r="C4" s="43"/>
      <c r="D4" s="204"/>
      <c r="E4" s="204"/>
      <c r="F4" s="204"/>
      <c r="G4" s="204"/>
      <c r="H4" s="43"/>
    </row>
    <row r="5" spans="1:9" ht="15" thickBot="1">
      <c r="B5" s="43"/>
      <c r="C5" s="208" t="s">
        <v>125</v>
      </c>
      <c r="D5" s="208"/>
      <c r="E5" s="208"/>
      <c r="F5" s="208"/>
      <c r="G5" s="208"/>
      <c r="H5" s="208"/>
    </row>
    <row r="6" spans="1:9" ht="15" thickBot="1">
      <c r="A6" s="35"/>
      <c r="B6" s="43"/>
      <c r="C6" s="45" t="s">
        <v>3</v>
      </c>
    </row>
    <row r="7" spans="1:9" ht="15.6" thickTop="1" thickBot="1">
      <c r="A7" s="49"/>
      <c r="B7" s="50"/>
      <c r="C7" s="51" t="s">
        <v>3</v>
      </c>
      <c r="D7" s="52"/>
      <c r="E7" s="53"/>
      <c r="F7" s="54"/>
      <c r="G7" s="54"/>
      <c r="H7" s="54"/>
      <c r="I7" s="49"/>
    </row>
    <row r="8" spans="1:9" ht="15.6" thickTop="1" thickBot="1">
      <c r="A8" s="49"/>
      <c r="B8" s="55"/>
      <c r="C8" s="48" t="s">
        <v>4</v>
      </c>
      <c r="D8" s="56"/>
      <c r="E8" s="57"/>
      <c r="F8" s="58"/>
      <c r="G8" s="58"/>
      <c r="H8" s="58"/>
      <c r="I8" s="49"/>
    </row>
    <row r="9" spans="1:9" ht="15" thickBot="1">
      <c r="A9" s="49"/>
      <c r="B9" s="55"/>
      <c r="C9" s="59" t="s">
        <v>126</v>
      </c>
      <c r="D9" s="56"/>
      <c r="E9" s="57"/>
      <c r="F9" s="58"/>
      <c r="G9" s="58"/>
      <c r="H9" s="58"/>
      <c r="I9" s="49"/>
    </row>
    <row r="10" spans="1:9">
      <c r="A10" s="49"/>
      <c r="B10" s="55"/>
      <c r="C10" s="55" t="s">
        <v>6</v>
      </c>
      <c r="D10" s="56"/>
      <c r="E10" s="57"/>
      <c r="F10" s="58">
        <v>4484.5</v>
      </c>
      <c r="G10" s="58"/>
      <c r="H10" s="58"/>
      <c r="I10" s="49"/>
    </row>
    <row r="11" spans="1:9" ht="15" thickBot="1">
      <c r="A11" s="49"/>
      <c r="B11" s="55"/>
      <c r="C11" s="55" t="s">
        <v>127</v>
      </c>
      <c r="D11" s="56"/>
      <c r="E11" s="57"/>
      <c r="F11" s="60">
        <v>104520</v>
      </c>
      <c r="G11" s="58">
        <v>109004.5</v>
      </c>
      <c r="H11" s="58"/>
      <c r="I11" s="49"/>
    </row>
    <row r="12" spans="1:9" ht="15" thickBot="1">
      <c r="A12" s="49"/>
      <c r="B12" s="55"/>
      <c r="C12" s="59" t="s">
        <v>128</v>
      </c>
      <c r="D12" s="56"/>
      <c r="E12" s="57"/>
      <c r="F12" s="58"/>
      <c r="G12" s="58"/>
      <c r="H12" s="58"/>
      <c r="I12" s="49"/>
    </row>
    <row r="13" spans="1:9" ht="15" thickBot="1">
      <c r="A13" s="49"/>
      <c r="B13" s="55"/>
      <c r="C13" s="55" t="s">
        <v>129</v>
      </c>
      <c r="D13" s="56"/>
      <c r="E13" s="57"/>
      <c r="F13" s="58">
        <v>8436.66</v>
      </c>
      <c r="G13" s="58">
        <v>8436.66</v>
      </c>
      <c r="H13" s="58"/>
      <c r="I13" s="49"/>
    </row>
    <row r="14" spans="1:9" ht="15" thickBot="1">
      <c r="A14" s="49"/>
      <c r="B14" s="55"/>
      <c r="C14" s="59" t="s">
        <v>19</v>
      </c>
      <c r="D14" s="56"/>
      <c r="E14" s="57"/>
      <c r="F14" s="58"/>
      <c r="G14" s="58"/>
      <c r="H14" s="58"/>
      <c r="I14" s="49"/>
    </row>
    <row r="15" spans="1:9" ht="15">
      <c r="A15" s="49"/>
      <c r="B15" s="55"/>
      <c r="C15" s="61" t="s">
        <v>22</v>
      </c>
      <c r="D15" s="56"/>
      <c r="E15" s="57"/>
      <c r="F15" s="58">
        <v>49767.5</v>
      </c>
      <c r="G15" s="58">
        <v>49767.5</v>
      </c>
      <c r="H15" s="58"/>
      <c r="I15" s="49"/>
    </row>
    <row r="16" spans="1:9" ht="15" thickBot="1">
      <c r="A16" s="49"/>
      <c r="B16" s="55"/>
      <c r="C16" s="61" t="s">
        <v>73</v>
      </c>
      <c r="D16" s="56"/>
      <c r="E16" s="57"/>
      <c r="F16" s="62">
        <v>1036</v>
      </c>
      <c r="G16" s="62">
        <v>1036</v>
      </c>
      <c r="H16" s="58">
        <f>G16+G15+G13+G11</f>
        <v>168244.66</v>
      </c>
      <c r="I16" s="49"/>
    </row>
    <row r="17" spans="1:10" ht="15">
      <c r="A17" s="49"/>
      <c r="B17" s="55"/>
      <c r="C17" s="63" t="s">
        <v>130</v>
      </c>
      <c r="D17" s="56"/>
      <c r="E17" s="57"/>
      <c r="F17" s="64"/>
      <c r="G17" s="58"/>
      <c r="H17" s="58"/>
      <c r="I17" s="49"/>
    </row>
    <row r="18" spans="1:10" ht="15">
      <c r="A18" s="49"/>
      <c r="B18" s="55"/>
      <c r="C18" s="61" t="s">
        <v>29</v>
      </c>
      <c r="D18" s="56"/>
      <c r="E18" s="57"/>
      <c r="F18" s="64">
        <v>14433</v>
      </c>
      <c r="G18" s="58">
        <v>14433</v>
      </c>
      <c r="H18" s="58"/>
      <c r="I18" s="49"/>
    </row>
    <row r="19" spans="1:10" ht="15">
      <c r="A19" s="49"/>
      <c r="B19" s="55"/>
      <c r="C19" s="61" t="s">
        <v>131</v>
      </c>
      <c r="D19" s="56"/>
      <c r="E19" s="57"/>
      <c r="F19" s="64">
        <v>4705</v>
      </c>
      <c r="G19" s="58">
        <v>4705</v>
      </c>
      <c r="H19" s="58"/>
      <c r="I19" s="49"/>
    </row>
    <row r="20" spans="1:10" ht="15">
      <c r="A20" s="49"/>
      <c r="B20" s="55"/>
      <c r="C20" s="61" t="s">
        <v>132</v>
      </c>
      <c r="D20" s="56"/>
      <c r="E20" s="57"/>
      <c r="F20" s="64">
        <v>2750</v>
      </c>
      <c r="G20" s="58">
        <v>2750</v>
      </c>
      <c r="H20" s="58"/>
      <c r="I20" s="49"/>
    </row>
    <row r="21" spans="1:10" ht="15" thickBot="1">
      <c r="A21" s="49"/>
      <c r="B21" s="55"/>
      <c r="C21" s="61"/>
      <c r="D21" s="56"/>
      <c r="E21" s="57"/>
      <c r="F21" s="58"/>
      <c r="G21" s="58"/>
      <c r="H21" s="62">
        <f>G20+G19+G18</f>
        <v>21888</v>
      </c>
      <c r="I21" s="49"/>
    </row>
    <row r="22" spans="1:10" ht="15">
      <c r="A22" s="49"/>
      <c r="B22" s="55"/>
      <c r="C22" s="63" t="s">
        <v>133</v>
      </c>
      <c r="D22" s="56"/>
      <c r="E22" s="57"/>
      <c r="F22" s="58"/>
      <c r="G22" s="58"/>
      <c r="H22" s="65">
        <f>H16+H21</f>
        <v>190132.66</v>
      </c>
      <c r="I22" s="49"/>
      <c r="J22" s="22"/>
    </row>
    <row r="23" spans="1:10" ht="15" thickBot="1">
      <c r="A23" s="49"/>
      <c r="B23" s="55"/>
      <c r="C23" s="66" t="s">
        <v>134</v>
      </c>
      <c r="D23" s="56"/>
      <c r="E23" s="57"/>
      <c r="F23" s="58"/>
      <c r="G23" s="58"/>
      <c r="H23" s="58"/>
      <c r="I23" s="49"/>
    </row>
    <row r="24" spans="1:10" ht="15">
      <c r="A24" s="49"/>
      <c r="B24" s="55"/>
      <c r="C24" s="63" t="s">
        <v>4</v>
      </c>
      <c r="D24" s="56"/>
      <c r="E24" s="57"/>
      <c r="F24" s="58"/>
      <c r="G24" s="58"/>
      <c r="H24" s="58"/>
      <c r="I24" s="49"/>
    </row>
    <row r="25" spans="1:10" ht="15">
      <c r="A25" s="49"/>
      <c r="B25" s="55"/>
      <c r="C25" s="61" t="s">
        <v>135</v>
      </c>
      <c r="D25" s="56"/>
      <c r="E25" s="57"/>
      <c r="F25" s="58">
        <v>20000</v>
      </c>
      <c r="G25" s="58">
        <v>20000</v>
      </c>
      <c r="H25" s="58"/>
      <c r="I25" s="49"/>
    </row>
    <row r="26" spans="1:10" ht="30.75">
      <c r="A26" s="49"/>
      <c r="B26" s="55"/>
      <c r="C26" s="61" t="s">
        <v>38</v>
      </c>
      <c r="D26" s="56"/>
      <c r="E26" s="57"/>
      <c r="F26" s="58">
        <v>3000</v>
      </c>
      <c r="G26" s="58">
        <v>3000</v>
      </c>
      <c r="H26" s="58"/>
      <c r="I26" s="49"/>
    </row>
    <row r="27" spans="1:10" ht="30.75">
      <c r="A27" s="49"/>
      <c r="B27" s="55"/>
      <c r="C27" s="61" t="s">
        <v>136</v>
      </c>
      <c r="D27" s="56"/>
      <c r="E27" s="57"/>
      <c r="F27" s="58">
        <v>721.65</v>
      </c>
      <c r="G27" s="58">
        <v>721.65</v>
      </c>
      <c r="H27" s="58"/>
      <c r="I27" s="49"/>
    </row>
    <row r="28" spans="1:10" ht="30.75">
      <c r="A28" s="49"/>
      <c r="B28" s="55"/>
      <c r="C28" s="61" t="s">
        <v>105</v>
      </c>
      <c r="D28" s="56"/>
      <c r="E28" s="57"/>
      <c r="F28" s="58">
        <v>70</v>
      </c>
      <c r="G28" s="58">
        <v>70</v>
      </c>
      <c r="H28" s="58"/>
      <c r="I28" s="49"/>
    </row>
    <row r="29" spans="1:10" ht="30.75">
      <c r="A29" s="49"/>
      <c r="B29" s="55"/>
      <c r="C29" s="61" t="s">
        <v>137</v>
      </c>
      <c r="D29" s="56"/>
      <c r="E29" s="57"/>
      <c r="F29" s="58">
        <v>168</v>
      </c>
      <c r="G29" s="62">
        <v>168</v>
      </c>
      <c r="H29" s="62">
        <f>G29+G28+G27+G26+G25</f>
        <v>23959.65</v>
      </c>
      <c r="I29" s="49"/>
    </row>
    <row r="30" spans="1:10" ht="15.6" thickTop="1" thickBot="1">
      <c r="A30" s="49"/>
      <c r="B30" s="55"/>
      <c r="C30" s="63" t="s">
        <v>138</v>
      </c>
      <c r="D30" s="56"/>
      <c r="E30" s="57"/>
      <c r="F30" s="58"/>
      <c r="G30" s="58"/>
      <c r="H30" s="65">
        <f>SUM(G25:G29)</f>
        <v>23959.65</v>
      </c>
      <c r="I30" s="49"/>
    </row>
    <row r="31" spans="1:10" ht="15" thickBot="1">
      <c r="A31" s="49"/>
      <c r="B31" s="55"/>
      <c r="C31" s="66" t="s">
        <v>50</v>
      </c>
      <c r="D31" s="56"/>
      <c r="E31" s="57"/>
      <c r="F31" s="58"/>
      <c r="G31" s="58"/>
      <c r="H31" s="58">
        <f>H22-H30</f>
        <v>166173.01</v>
      </c>
      <c r="I31" s="49"/>
      <c r="J31" s="22"/>
    </row>
    <row r="32" spans="1:10" ht="30" thickTop="1" thickBot="1">
      <c r="A32" s="49"/>
      <c r="B32" s="55"/>
      <c r="C32" s="61" t="s">
        <v>139</v>
      </c>
      <c r="D32" s="56"/>
      <c r="E32" s="57"/>
      <c r="F32" s="58"/>
      <c r="G32" s="58"/>
      <c r="H32" s="65">
        <f>H30+H31</f>
        <v>190132.66</v>
      </c>
      <c r="I32" s="49"/>
    </row>
    <row r="33" spans="1:9" ht="15" thickTop="1">
      <c r="A33" s="49"/>
      <c r="B33" s="55"/>
      <c r="C33" s="55"/>
      <c r="D33" s="205" t="s">
        <v>140</v>
      </c>
      <c r="E33" s="206"/>
      <c r="F33" s="206"/>
      <c r="G33" s="206"/>
      <c r="H33" s="207"/>
      <c r="I33" s="49"/>
    </row>
    <row r="34" spans="1:9">
      <c r="A34" s="49"/>
      <c r="B34" s="55"/>
      <c r="C34" s="55"/>
      <c r="D34" s="56"/>
      <c r="E34" s="57"/>
      <c r="F34" s="58"/>
      <c r="G34" s="58"/>
      <c r="H34" s="58"/>
      <c r="I34" s="49"/>
    </row>
    <row r="35" spans="1:9" ht="15" thickBot="1">
      <c r="A35" s="49"/>
      <c r="B35" s="55"/>
      <c r="C35" s="55"/>
      <c r="D35" s="67" t="s">
        <v>112</v>
      </c>
      <c r="E35" s="57"/>
      <c r="F35" s="58"/>
      <c r="G35" s="58"/>
      <c r="H35" s="58"/>
      <c r="I35" s="49"/>
    </row>
    <row r="36" spans="1:9" ht="15" thickTop="1">
      <c r="A36" s="49"/>
      <c r="B36" s="55"/>
      <c r="C36" s="55"/>
      <c r="D36" s="68" t="s">
        <v>117</v>
      </c>
      <c r="E36" s="57"/>
      <c r="F36" s="58"/>
      <c r="G36" s="58"/>
      <c r="H36" s="58"/>
      <c r="I36" s="49"/>
    </row>
    <row r="37" spans="1:9">
      <c r="A37" s="49"/>
      <c r="B37" s="55"/>
      <c r="C37" s="55"/>
      <c r="D37" s="68" t="s">
        <v>118</v>
      </c>
      <c r="E37" s="57"/>
      <c r="F37" s="58"/>
      <c r="G37" s="58"/>
      <c r="H37" s="58"/>
      <c r="I37" s="49"/>
    </row>
    <row r="38" spans="1:9">
      <c r="A38" s="49"/>
      <c r="B38" s="55"/>
      <c r="C38" s="55"/>
      <c r="D38" s="56"/>
      <c r="E38" s="57"/>
      <c r="F38" s="58"/>
      <c r="G38" s="58"/>
      <c r="H38" s="58"/>
      <c r="I38" s="49"/>
    </row>
    <row r="39" spans="1:9" ht="15" thickBot="1">
      <c r="A39" s="49"/>
      <c r="B39" s="55"/>
      <c r="C39" s="67" t="s">
        <v>112</v>
      </c>
      <c r="D39" s="56"/>
      <c r="E39" s="57"/>
      <c r="F39" s="58"/>
      <c r="G39" s="58"/>
      <c r="H39" s="58"/>
      <c r="I39" s="49"/>
    </row>
    <row r="40" spans="1:9" ht="15" thickTop="1">
      <c r="A40" s="49"/>
      <c r="B40" s="55"/>
      <c r="C40" s="64" t="s">
        <v>141</v>
      </c>
      <c r="D40" s="56"/>
      <c r="E40" s="57"/>
      <c r="F40" s="58"/>
      <c r="G40" s="58"/>
      <c r="H40" s="58"/>
      <c r="I40" s="49"/>
    </row>
    <row r="41" spans="1:9">
      <c r="A41" s="49"/>
      <c r="B41" s="55"/>
      <c r="C41" s="55" t="s">
        <v>116</v>
      </c>
      <c r="D41" s="56"/>
      <c r="E41" s="57"/>
      <c r="F41" s="58"/>
      <c r="G41" s="58"/>
      <c r="H41" s="58"/>
      <c r="I41" s="49"/>
    </row>
    <row r="42" spans="1:9">
      <c r="A42" s="49"/>
      <c r="B42" s="55"/>
      <c r="C42" s="55"/>
      <c r="D42" s="56"/>
      <c r="E42" s="57"/>
      <c r="F42" s="58"/>
      <c r="G42" s="58"/>
      <c r="H42" s="58"/>
      <c r="I42" s="49"/>
    </row>
    <row r="43" spans="1:9" ht="15">
      <c r="A43" s="49"/>
      <c r="B43" s="55"/>
      <c r="C43" s="55" t="s">
        <v>142</v>
      </c>
      <c r="D43" s="56"/>
      <c r="E43" s="57"/>
      <c r="F43" s="58"/>
      <c r="G43" s="58"/>
      <c r="H43" s="58"/>
      <c r="I43" s="49"/>
    </row>
    <row r="44" spans="1:9">
      <c r="A44" s="49"/>
      <c r="B44" s="55"/>
      <c r="C44" s="55" t="s">
        <v>143</v>
      </c>
      <c r="D44" s="56"/>
      <c r="E44" s="57"/>
      <c r="F44" s="58"/>
      <c r="G44" s="58"/>
      <c r="H44" s="58"/>
      <c r="I44" s="49"/>
    </row>
    <row r="45" spans="1:9">
      <c r="A45" s="49"/>
      <c r="B45" s="55"/>
      <c r="C45" s="55" t="s">
        <v>144</v>
      </c>
      <c r="D45" s="56"/>
      <c r="E45" s="57"/>
      <c r="F45" s="58"/>
      <c r="G45" s="58"/>
      <c r="H45" s="58"/>
      <c r="I45" s="49"/>
    </row>
    <row r="46" spans="1:9">
      <c r="A46" s="49"/>
      <c r="B46" s="55"/>
      <c r="C46" s="55"/>
      <c r="D46" s="56"/>
      <c r="E46" s="57"/>
      <c r="F46" s="58"/>
      <c r="G46" s="58"/>
      <c r="H46" s="58"/>
      <c r="I46" s="49"/>
    </row>
    <row r="47" spans="1:9">
      <c r="A47" s="49"/>
      <c r="B47" s="55"/>
      <c r="C47" s="55"/>
      <c r="D47" s="56"/>
      <c r="E47" s="57"/>
      <c r="F47" s="58"/>
      <c r="G47" s="58"/>
      <c r="H47" s="58"/>
      <c r="I47" s="49"/>
    </row>
    <row r="48" spans="1:9">
      <c r="A48" s="49"/>
      <c r="B48" s="55"/>
      <c r="C48" s="55"/>
      <c r="D48" s="56"/>
      <c r="E48" s="57"/>
      <c r="F48" s="58"/>
      <c r="G48" s="58"/>
      <c r="H48" s="58"/>
      <c r="I48" s="49"/>
    </row>
    <row r="49" spans="1:9">
      <c r="A49" s="49"/>
      <c r="B49" s="55"/>
      <c r="C49" s="55"/>
      <c r="D49" s="56"/>
      <c r="E49" s="57"/>
      <c r="F49" s="58"/>
      <c r="G49" s="58"/>
      <c r="H49" s="58"/>
      <c r="I49" s="49"/>
    </row>
    <row r="50" spans="1:9">
      <c r="A50" s="49"/>
      <c r="B50" s="55"/>
      <c r="C50" s="55"/>
      <c r="D50" s="56"/>
      <c r="E50" s="57"/>
      <c r="F50" s="58"/>
      <c r="G50" s="58"/>
      <c r="H50" s="58"/>
      <c r="I50" s="49"/>
    </row>
    <row r="51" spans="1:9">
      <c r="A51" s="49"/>
      <c r="B51" s="55"/>
      <c r="C51" s="55"/>
      <c r="D51" s="56"/>
      <c r="E51" s="57"/>
      <c r="F51" s="58"/>
      <c r="G51" s="58"/>
      <c r="H51" s="58"/>
      <c r="I51" s="49"/>
    </row>
    <row r="52" spans="1:9">
      <c r="A52" s="49"/>
      <c r="B52" s="55"/>
      <c r="C52" s="55"/>
      <c r="D52" s="56"/>
      <c r="E52" s="57"/>
      <c r="F52" s="58"/>
      <c r="G52" s="58"/>
      <c r="H52" s="58"/>
      <c r="I52" s="49"/>
    </row>
    <row r="53" spans="1:9">
      <c r="A53" s="49"/>
      <c r="B53" s="55"/>
      <c r="C53" s="55"/>
      <c r="D53" s="56"/>
      <c r="E53" s="57"/>
      <c r="F53" s="58"/>
      <c r="G53" s="58"/>
      <c r="H53" s="58"/>
      <c r="I53" s="49"/>
    </row>
    <row r="54" spans="1:9">
      <c r="A54" s="49"/>
      <c r="B54" s="55"/>
      <c r="C54" s="55"/>
      <c r="D54" s="56"/>
      <c r="E54" s="57"/>
      <c r="F54" s="58"/>
      <c r="G54" s="58"/>
      <c r="H54" s="58"/>
      <c r="I54" s="49"/>
    </row>
    <row r="55" spans="1:9">
      <c r="A55" s="49"/>
      <c r="B55" s="55"/>
      <c r="C55" s="55"/>
      <c r="D55" s="56"/>
      <c r="E55" s="57"/>
      <c r="F55" s="58"/>
      <c r="G55" s="58"/>
      <c r="H55" s="58"/>
      <c r="I55" s="49"/>
    </row>
    <row r="56" spans="1:9">
      <c r="A56" s="49"/>
      <c r="B56" s="55"/>
      <c r="C56" s="55"/>
      <c r="D56" s="56"/>
      <c r="E56" s="57"/>
      <c r="F56" s="58"/>
      <c r="G56" s="58"/>
      <c r="H56" s="58"/>
      <c r="I56" s="49"/>
    </row>
    <row r="57" spans="1:9">
      <c r="A57" s="49"/>
      <c r="B57" s="55"/>
      <c r="C57" s="55"/>
      <c r="D57" s="56"/>
      <c r="E57" s="57"/>
      <c r="F57" s="58"/>
      <c r="G57" s="58"/>
      <c r="H57" s="58"/>
      <c r="I57" s="49"/>
    </row>
    <row r="58" spans="1:9">
      <c r="A58" s="49"/>
      <c r="B58" s="55"/>
      <c r="C58" s="55"/>
      <c r="D58" s="56"/>
      <c r="E58" s="57"/>
      <c r="F58" s="58"/>
      <c r="G58" s="58"/>
      <c r="H58" s="58"/>
      <c r="I58" s="49"/>
    </row>
    <row r="59" spans="1:9">
      <c r="A59" s="49"/>
      <c r="B59" s="55"/>
      <c r="C59" s="55"/>
      <c r="D59" s="56"/>
      <c r="E59" s="57"/>
      <c r="F59" s="58"/>
      <c r="G59" s="58"/>
      <c r="H59" s="58"/>
      <c r="I59" s="49"/>
    </row>
    <row r="60" spans="1:9">
      <c r="A60" s="49"/>
      <c r="B60" s="55"/>
      <c r="C60" s="55"/>
      <c r="D60" s="56"/>
      <c r="E60" s="57"/>
      <c r="F60" s="58"/>
      <c r="G60" s="58"/>
      <c r="H60" s="58"/>
      <c r="I60" s="49"/>
    </row>
    <row r="61" spans="1:9">
      <c r="A61" s="49"/>
      <c r="B61" s="55"/>
      <c r="C61" s="55"/>
      <c r="D61" s="56"/>
      <c r="E61" s="57"/>
      <c r="F61" s="58"/>
      <c r="G61" s="58"/>
      <c r="H61" s="58"/>
      <c r="I61" s="49"/>
    </row>
    <row r="62" spans="1:9">
      <c r="A62" s="49"/>
      <c r="B62" s="55"/>
      <c r="C62" s="55"/>
      <c r="D62" s="56"/>
      <c r="E62" s="57"/>
      <c r="F62" s="58"/>
      <c r="G62" s="58"/>
      <c r="H62" s="58"/>
      <c r="I62" s="49"/>
    </row>
    <row r="63" spans="1:9">
      <c r="A63" s="49"/>
      <c r="B63" s="55"/>
      <c r="C63" s="55"/>
      <c r="D63" s="56"/>
      <c r="E63" s="57"/>
      <c r="F63" s="58"/>
      <c r="G63" s="58"/>
      <c r="H63" s="58"/>
      <c r="I63" s="49"/>
    </row>
    <row r="64" spans="1:9">
      <c r="A64" s="49"/>
      <c r="B64" s="55"/>
      <c r="C64" s="55"/>
      <c r="D64" s="56"/>
      <c r="E64" s="57"/>
      <c r="F64" s="58"/>
      <c r="G64" s="58"/>
      <c r="H64" s="58"/>
      <c r="I64" s="49"/>
    </row>
    <row r="65" spans="1:9">
      <c r="A65" s="49"/>
      <c r="B65" s="55"/>
      <c r="C65" s="55"/>
      <c r="D65" s="56"/>
      <c r="E65" s="57"/>
      <c r="F65" s="58"/>
      <c r="G65" s="58"/>
      <c r="H65" s="58"/>
      <c r="I65" s="49"/>
    </row>
    <row r="66" spans="1:9">
      <c r="A66" s="49"/>
      <c r="B66" s="55"/>
      <c r="C66" s="55"/>
      <c r="D66" s="56"/>
      <c r="E66" s="57"/>
      <c r="F66" s="58"/>
      <c r="G66" s="58"/>
      <c r="H66" s="58"/>
      <c r="I66" s="49"/>
    </row>
    <row r="67" spans="1:9">
      <c r="A67" s="49"/>
      <c r="B67" s="55"/>
      <c r="C67" s="55"/>
      <c r="D67" s="56"/>
      <c r="E67" s="57"/>
      <c r="F67" s="58"/>
      <c r="G67" s="58"/>
      <c r="H67" s="58"/>
      <c r="I67" s="49"/>
    </row>
    <row r="68" spans="1:9">
      <c r="A68" s="49"/>
      <c r="B68" s="55"/>
      <c r="C68" s="55"/>
      <c r="D68" s="56"/>
      <c r="E68" s="57"/>
      <c r="F68" s="58"/>
      <c r="G68" s="58"/>
      <c r="H68" s="58"/>
      <c r="I68" s="49"/>
    </row>
    <row r="69" spans="1:9">
      <c r="A69" s="49"/>
      <c r="B69" s="55"/>
      <c r="C69" s="55"/>
      <c r="D69" s="56"/>
      <c r="E69" s="57"/>
      <c r="F69" s="58"/>
      <c r="G69" s="58"/>
      <c r="H69" s="58"/>
      <c r="I69" s="49"/>
    </row>
    <row r="70" spans="1:9">
      <c r="A70" s="49"/>
      <c r="B70" s="55"/>
      <c r="C70" s="55"/>
      <c r="D70" s="56"/>
      <c r="E70" s="57"/>
      <c r="F70" s="58"/>
      <c r="G70" s="58"/>
      <c r="H70" s="58"/>
      <c r="I70" s="49"/>
    </row>
    <row r="71" spans="1:9">
      <c r="A71" s="49"/>
      <c r="B71" s="55"/>
      <c r="C71" s="55"/>
      <c r="D71" s="56"/>
      <c r="E71" s="57"/>
      <c r="F71" s="58"/>
      <c r="G71" s="58"/>
      <c r="H71" s="58"/>
      <c r="I71" s="49"/>
    </row>
    <row r="72" spans="1:9">
      <c r="A72" s="49"/>
      <c r="B72" s="55"/>
      <c r="C72" s="55"/>
      <c r="D72" s="56"/>
      <c r="E72" s="57"/>
      <c r="F72" s="58"/>
      <c r="G72" s="58"/>
      <c r="H72" s="58"/>
      <c r="I72" s="49"/>
    </row>
    <row r="73" spans="1:9">
      <c r="A73" s="49"/>
      <c r="B73" s="55"/>
      <c r="C73" s="55"/>
      <c r="D73" s="56"/>
      <c r="E73" s="57"/>
      <c r="F73" s="58"/>
      <c r="G73" s="58"/>
      <c r="H73" s="58"/>
      <c r="I73" s="49"/>
    </row>
    <row r="74" spans="1:9">
      <c r="A74" s="49"/>
      <c r="B74" s="55"/>
      <c r="C74" s="55"/>
      <c r="D74" s="56"/>
      <c r="E74" s="57"/>
      <c r="F74" s="58"/>
      <c r="G74" s="58"/>
      <c r="H74" s="58"/>
      <c r="I74" s="49"/>
    </row>
    <row r="75" spans="1:9">
      <c r="A75" s="49"/>
      <c r="B75" s="55"/>
      <c r="C75" s="55"/>
      <c r="D75" s="56"/>
      <c r="E75" s="57"/>
      <c r="F75" s="58"/>
      <c r="G75" s="58"/>
      <c r="H75" s="58"/>
      <c r="I75" s="49"/>
    </row>
    <row r="76" spans="1:9">
      <c r="A76" s="49"/>
      <c r="B76" s="55"/>
      <c r="C76" s="55"/>
      <c r="D76" s="56"/>
      <c r="E76" s="57"/>
      <c r="F76" s="58"/>
      <c r="G76" s="58"/>
      <c r="H76" s="58"/>
      <c r="I76" s="49"/>
    </row>
    <row r="77" spans="1:9">
      <c r="A77" s="49"/>
      <c r="B77" s="55"/>
      <c r="C77" s="55"/>
      <c r="D77" s="56"/>
      <c r="E77" s="57"/>
      <c r="F77" s="58"/>
      <c r="G77" s="58"/>
      <c r="H77" s="58"/>
      <c r="I77" s="49"/>
    </row>
    <row r="78" spans="1:9">
      <c r="A78" s="49"/>
      <c r="B78" s="55"/>
      <c r="C78" s="55"/>
      <c r="D78" s="56"/>
      <c r="E78" s="57"/>
      <c r="F78" s="58"/>
      <c r="G78" s="58"/>
      <c r="H78" s="58"/>
      <c r="I78" s="49"/>
    </row>
    <row r="79" spans="1:9">
      <c r="A79" s="49"/>
      <c r="B79" s="55"/>
      <c r="C79" s="55"/>
      <c r="D79" s="56"/>
      <c r="E79" s="57"/>
      <c r="F79" s="58"/>
      <c r="G79" s="58"/>
      <c r="H79" s="58"/>
      <c r="I79" s="49"/>
    </row>
    <row r="80" spans="1:9">
      <c r="A80" s="49"/>
      <c r="B80" s="55"/>
      <c r="C80" s="55"/>
      <c r="D80" s="56"/>
      <c r="E80" s="57"/>
      <c r="F80" s="58"/>
      <c r="G80" s="58"/>
      <c r="H80" s="58"/>
      <c r="I80" s="49"/>
    </row>
    <row r="81" spans="1:9">
      <c r="A81" s="49"/>
      <c r="B81" s="55"/>
      <c r="C81" s="55"/>
      <c r="D81" s="56"/>
      <c r="E81" s="57"/>
      <c r="F81" s="58"/>
      <c r="G81" s="58"/>
      <c r="H81" s="58"/>
      <c r="I81" s="49"/>
    </row>
    <row r="82" spans="1:9">
      <c r="A82" s="49"/>
      <c r="B82" s="55"/>
      <c r="C82" s="55"/>
      <c r="D82" s="56"/>
      <c r="E82" s="57"/>
      <c r="F82" s="58"/>
      <c r="G82" s="58"/>
      <c r="H82" s="58"/>
      <c r="I82" s="49"/>
    </row>
    <row r="83" spans="1:9">
      <c r="A83" s="49"/>
      <c r="B83" s="55"/>
      <c r="C83" s="55"/>
      <c r="D83" s="56"/>
      <c r="E83" s="57"/>
      <c r="F83" s="58"/>
      <c r="G83" s="58"/>
      <c r="H83" s="58"/>
      <c r="I83" s="49"/>
    </row>
    <row r="84" spans="1:9">
      <c r="A84" s="49"/>
      <c r="B84" s="55"/>
      <c r="C84" s="55"/>
      <c r="D84" s="56"/>
      <c r="E84" s="57"/>
      <c r="F84" s="58"/>
      <c r="G84" s="58"/>
      <c r="H84" s="58"/>
      <c r="I84" s="49"/>
    </row>
    <row r="85" spans="1:9">
      <c r="A85" s="49"/>
      <c r="B85" s="55"/>
      <c r="C85" s="55"/>
      <c r="D85" s="56"/>
      <c r="E85" s="57"/>
      <c r="F85" s="58"/>
      <c r="G85" s="58"/>
      <c r="H85" s="58"/>
      <c r="I85" s="49"/>
    </row>
    <row r="86" spans="1:9">
      <c r="A86" s="49"/>
      <c r="B86" s="55"/>
      <c r="C86" s="55"/>
      <c r="D86" s="56"/>
      <c r="E86" s="57"/>
      <c r="F86" s="58"/>
      <c r="G86" s="58"/>
      <c r="H86" s="58"/>
      <c r="I86" s="49"/>
    </row>
    <row r="87" spans="1:9">
      <c r="A87" s="49"/>
      <c r="B87" s="55"/>
      <c r="C87" s="55"/>
      <c r="D87" s="56"/>
      <c r="E87" s="57"/>
      <c r="F87" s="58"/>
      <c r="G87" s="58"/>
      <c r="H87" s="58"/>
      <c r="I87" s="49"/>
    </row>
    <row r="88" spans="1:9">
      <c r="A88" s="49"/>
      <c r="B88" s="55"/>
      <c r="C88" s="55"/>
      <c r="D88" s="56"/>
      <c r="E88" s="57"/>
      <c r="F88" s="58"/>
      <c r="G88" s="58"/>
      <c r="H88" s="58"/>
      <c r="I88" s="49"/>
    </row>
    <row r="89" spans="1:9">
      <c r="A89" s="49"/>
      <c r="B89" s="55"/>
      <c r="C89" s="55"/>
      <c r="D89" s="56"/>
      <c r="E89" s="57"/>
      <c r="F89" s="58"/>
      <c r="G89" s="58"/>
      <c r="H89" s="58"/>
      <c r="I89" s="49"/>
    </row>
    <row r="90" spans="1:9">
      <c r="A90" s="49"/>
      <c r="B90" s="55"/>
      <c r="C90" s="55"/>
      <c r="D90" s="56"/>
      <c r="E90" s="57"/>
      <c r="F90" s="58"/>
      <c r="G90" s="58"/>
      <c r="H90" s="58"/>
      <c r="I90" s="49"/>
    </row>
    <row r="91" spans="1:9">
      <c r="A91" s="49"/>
      <c r="B91" s="55"/>
      <c r="C91" s="55"/>
      <c r="D91" s="56"/>
      <c r="E91" s="57"/>
      <c r="F91" s="58"/>
      <c r="G91" s="58"/>
      <c r="H91" s="58"/>
      <c r="I91" s="49"/>
    </row>
    <row r="92" spans="1:9">
      <c r="A92" s="49"/>
      <c r="B92" s="69"/>
      <c r="C92" s="69"/>
      <c r="D92" s="70"/>
      <c r="E92" s="71"/>
      <c r="F92" s="72"/>
      <c r="G92" s="72"/>
      <c r="H92" s="72"/>
      <c r="I92" s="49"/>
    </row>
    <row r="93" spans="1:9">
      <c r="A93" s="49"/>
      <c r="B93" s="69"/>
      <c r="C93" s="69"/>
      <c r="D93" s="70"/>
      <c r="E93" s="71"/>
      <c r="F93" s="72"/>
      <c r="G93" s="72"/>
      <c r="H93" s="72"/>
      <c r="I93" s="49"/>
    </row>
    <row r="94" spans="1:9">
      <c r="A94" s="49"/>
      <c r="B94" s="69"/>
      <c r="C94" s="69"/>
      <c r="D94" s="70"/>
      <c r="E94" s="71"/>
      <c r="F94" s="72"/>
      <c r="G94" s="72"/>
      <c r="H94" s="72"/>
      <c r="I94" s="49"/>
    </row>
    <row r="95" spans="1:9">
      <c r="A95" s="49"/>
      <c r="B95" s="69"/>
      <c r="C95" s="69"/>
      <c r="D95" s="70"/>
      <c r="E95" s="71"/>
      <c r="F95" s="72"/>
      <c r="G95" s="72"/>
      <c r="H95" s="72"/>
      <c r="I95" s="49"/>
    </row>
    <row r="96" spans="1:9">
      <c r="A96" s="49"/>
      <c r="B96" s="69"/>
      <c r="C96" s="69"/>
      <c r="D96" s="70"/>
      <c r="E96" s="71"/>
      <c r="F96" s="72"/>
      <c r="G96" s="72"/>
      <c r="H96" s="72"/>
      <c r="I96" s="49"/>
    </row>
    <row r="97" spans="1:9">
      <c r="A97" s="49"/>
      <c r="B97" s="69"/>
      <c r="C97" s="69"/>
      <c r="D97" s="70"/>
      <c r="E97" s="71"/>
      <c r="F97" s="72"/>
      <c r="G97" s="72"/>
      <c r="H97" s="72"/>
      <c r="I97" s="49"/>
    </row>
    <row r="98" spans="1:9">
      <c r="A98" s="49"/>
      <c r="B98" s="69"/>
      <c r="C98" s="69"/>
      <c r="D98" s="70"/>
      <c r="E98" s="71"/>
      <c r="F98" s="72"/>
      <c r="G98" s="72"/>
      <c r="H98" s="72"/>
      <c r="I98" s="49"/>
    </row>
    <row r="99" spans="1:9">
      <c r="A99" s="49"/>
      <c r="B99" s="69"/>
      <c r="C99" s="69"/>
      <c r="D99" s="70"/>
      <c r="E99" s="71"/>
      <c r="F99" s="72"/>
      <c r="G99" s="72"/>
      <c r="H99" s="72"/>
      <c r="I99" s="49"/>
    </row>
    <row r="100" spans="1:9">
      <c r="A100" s="49"/>
      <c r="B100" s="49"/>
      <c r="C100" s="49"/>
      <c r="D100" s="49"/>
      <c r="E100" s="49"/>
      <c r="F100" s="49"/>
      <c r="G100" s="49"/>
      <c r="H100" s="49"/>
      <c r="I100" s="49"/>
    </row>
    <row r="101" spans="1:9">
      <c r="A101" s="49"/>
      <c r="B101" s="49"/>
      <c r="C101" s="49"/>
      <c r="D101" s="49"/>
      <c r="E101" s="49"/>
      <c r="F101" s="49"/>
      <c r="G101" s="49"/>
      <c r="H101" s="49"/>
      <c r="I101" s="49"/>
    </row>
    <row r="102" spans="1:9">
      <c r="A102" s="49"/>
      <c r="B102" s="49"/>
      <c r="C102" s="49"/>
      <c r="D102" s="49"/>
      <c r="E102" s="49"/>
      <c r="F102" s="49"/>
      <c r="G102" s="49"/>
      <c r="H102" s="49"/>
      <c r="I102" s="49"/>
    </row>
    <row r="103" spans="1:9">
      <c r="A103" s="49"/>
      <c r="B103" s="49"/>
      <c r="C103" s="49"/>
      <c r="D103" s="49"/>
      <c r="E103" s="49"/>
      <c r="F103" s="49"/>
      <c r="G103" s="49"/>
      <c r="H103" s="49"/>
      <c r="I103" s="49"/>
    </row>
    <row r="104" spans="1:9">
      <c r="A104" s="49"/>
      <c r="B104" s="49"/>
      <c r="C104" s="49"/>
      <c r="D104" s="49"/>
      <c r="E104" s="49"/>
      <c r="F104" s="49"/>
      <c r="G104" s="49"/>
      <c r="H104" s="49"/>
      <c r="I104" s="49"/>
    </row>
  </sheetData>
  <mergeCells count="5">
    <mergeCell ref="D3:G3"/>
    <mergeCell ref="D4:G4"/>
    <mergeCell ref="D33:H33"/>
    <mergeCell ref="C5:H5"/>
    <mergeCell ref="A2:I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1"/>
  <sheetViews>
    <sheetView topLeftCell="F58" zoomScale="110" workbookViewId="0">
      <selection activeCell="D38" sqref="D38"/>
    </sheetView>
  </sheetViews>
  <sheetFormatPr defaultColWidth="11.42578125" defaultRowHeight="15" customHeight="1"/>
  <cols>
    <col min="1" max="1" width="7.140625" bestFit="1" customWidth="1"/>
    <col min="2" max="2" width="51" customWidth="1"/>
    <col min="3" max="4" width="11.42578125" style="22"/>
    <col min="5" max="5" width="11.42578125" style="113"/>
    <col min="7" max="10" width="11.42578125" style="49"/>
  </cols>
  <sheetData>
    <row r="1" spans="1:6">
      <c r="C1" s="79"/>
      <c r="F1" s="22"/>
    </row>
    <row r="2" spans="1:6" thickBot="1">
      <c r="B2" s="5" t="s">
        <v>145</v>
      </c>
      <c r="C2" s="80"/>
      <c r="D2" s="23"/>
      <c r="E2" s="114"/>
      <c r="F2" s="23"/>
    </row>
    <row r="3" spans="1:6" thickTop="1">
      <c r="B3" s="7" t="s">
        <v>146</v>
      </c>
      <c r="C3" s="200"/>
      <c r="D3" s="200"/>
      <c r="E3" s="200"/>
      <c r="F3" s="200"/>
    </row>
    <row r="4" spans="1:6">
      <c r="B4" t="s">
        <v>147</v>
      </c>
      <c r="C4" s="201"/>
      <c r="D4" s="201"/>
      <c r="E4" s="201"/>
      <c r="F4" s="201"/>
    </row>
    <row r="5" spans="1:6" thickBot="1">
      <c r="B5" s="1"/>
      <c r="C5" s="25"/>
      <c r="D5" s="24"/>
      <c r="E5" s="115"/>
      <c r="F5" s="25"/>
    </row>
    <row r="6" spans="1:6" thickTop="1">
      <c r="A6" t="s">
        <v>148</v>
      </c>
      <c r="B6" s="103" t="s">
        <v>149</v>
      </c>
      <c r="C6" s="81"/>
      <c r="D6" s="26"/>
      <c r="E6" s="116"/>
      <c r="F6" s="26"/>
    </row>
    <row r="7" spans="1:6">
      <c r="B7" s="3" t="s">
        <v>150</v>
      </c>
      <c r="C7" s="90">
        <v>4484.5</v>
      </c>
      <c r="D7" s="27"/>
      <c r="E7" s="117"/>
      <c r="F7" s="27"/>
    </row>
    <row r="8" spans="1:6">
      <c r="B8" s="3" t="s">
        <v>127</v>
      </c>
      <c r="C8" s="27">
        <v>104520</v>
      </c>
      <c r="D8" s="27"/>
      <c r="E8" s="117"/>
      <c r="F8" s="27"/>
    </row>
    <row r="9" spans="1:6">
      <c r="B9" s="3" t="s">
        <v>20</v>
      </c>
      <c r="C9" s="27">
        <v>8436.66</v>
      </c>
      <c r="D9" s="27"/>
      <c r="E9" s="117"/>
      <c r="F9" s="27"/>
    </row>
    <row r="10" spans="1:6">
      <c r="B10" s="3" t="s">
        <v>22</v>
      </c>
      <c r="C10" s="27">
        <v>49767.5</v>
      </c>
      <c r="D10" s="27"/>
      <c r="E10" s="117"/>
      <c r="F10" s="27"/>
    </row>
    <row r="11" spans="1:6">
      <c r="B11" s="3" t="s">
        <v>151</v>
      </c>
      <c r="C11" s="27">
        <v>1036</v>
      </c>
      <c r="D11" s="27"/>
      <c r="E11" s="117"/>
      <c r="F11" s="27"/>
    </row>
    <row r="12" spans="1:6">
      <c r="B12" s="3" t="s">
        <v>79</v>
      </c>
      <c r="C12" s="27">
        <v>14433</v>
      </c>
      <c r="D12" s="27"/>
      <c r="E12" s="117"/>
      <c r="F12" s="27"/>
    </row>
    <row r="13" spans="1:6">
      <c r="B13" s="3" t="s">
        <v>152</v>
      </c>
      <c r="C13" s="27">
        <v>4705</v>
      </c>
      <c r="D13" s="27"/>
      <c r="E13" s="117"/>
      <c r="F13" s="27"/>
    </row>
    <row r="14" spans="1:6">
      <c r="B14" s="3" t="s">
        <v>32</v>
      </c>
      <c r="C14" s="27">
        <v>2750</v>
      </c>
      <c r="D14" s="27"/>
      <c r="E14" s="117"/>
      <c r="F14" s="27"/>
    </row>
    <row r="15" spans="1:6">
      <c r="B15" s="100" t="s">
        <v>35</v>
      </c>
      <c r="C15" s="27"/>
      <c r="D15" s="27">
        <v>20000</v>
      </c>
      <c r="E15" s="117"/>
      <c r="F15" s="27"/>
    </row>
    <row r="16" spans="1:6">
      <c r="B16" s="100" t="s">
        <v>101</v>
      </c>
      <c r="C16" s="27"/>
      <c r="D16" s="27">
        <v>3000</v>
      </c>
      <c r="E16" s="117"/>
      <c r="F16" s="27"/>
    </row>
    <row r="17" spans="1:6">
      <c r="B17" s="100" t="s">
        <v>103</v>
      </c>
      <c r="C17" s="27"/>
      <c r="D17" s="27">
        <v>721.65</v>
      </c>
      <c r="E17" s="117"/>
      <c r="F17" s="27"/>
    </row>
    <row r="18" spans="1:6">
      <c r="B18" s="101" t="s">
        <v>153</v>
      </c>
      <c r="C18" s="27"/>
      <c r="D18" s="27">
        <v>70</v>
      </c>
      <c r="E18" s="117"/>
      <c r="F18" s="27"/>
    </row>
    <row r="19" spans="1:6">
      <c r="B19" s="101" t="s">
        <v>154</v>
      </c>
      <c r="C19" s="27"/>
      <c r="D19" s="27">
        <v>168</v>
      </c>
      <c r="E19" s="117"/>
      <c r="F19" s="27"/>
    </row>
    <row r="20" spans="1:6">
      <c r="B20" s="101" t="s">
        <v>155</v>
      </c>
      <c r="C20" s="27"/>
      <c r="D20" s="27">
        <v>166173.01</v>
      </c>
      <c r="E20" s="117"/>
      <c r="F20" s="27"/>
    </row>
    <row r="21" spans="1:6" ht="45.75">
      <c r="B21" s="99" t="s">
        <v>156</v>
      </c>
      <c r="C21" s="27">
        <f>C7+C8+C9++C10+C11+C12+C13+C14</f>
        <v>190132.66</v>
      </c>
      <c r="D21" s="27">
        <f>D15+D16+D18+D19+D20+D17</f>
        <v>190132.66</v>
      </c>
      <c r="E21" s="117"/>
      <c r="F21" s="27"/>
    </row>
    <row r="22" spans="1:6">
      <c r="B22" s="73" t="s">
        <v>157</v>
      </c>
      <c r="C22" s="31"/>
      <c r="D22" s="31"/>
      <c r="E22" s="117"/>
      <c r="F22" s="27"/>
    </row>
    <row r="23" spans="1:6">
      <c r="A23" t="s">
        <v>158</v>
      </c>
      <c r="B23" s="73"/>
      <c r="C23" s="27"/>
      <c r="D23" s="27"/>
      <c r="E23" s="117"/>
      <c r="F23" s="27"/>
    </row>
    <row r="24" spans="1:6">
      <c r="B24" s="2" t="s">
        <v>150</v>
      </c>
      <c r="C24" s="27">
        <v>16956.8</v>
      </c>
      <c r="D24" s="27"/>
      <c r="E24" s="117"/>
      <c r="F24" s="27"/>
    </row>
    <row r="25" spans="1:6">
      <c r="B25" s="101" t="s">
        <v>159</v>
      </c>
      <c r="C25" s="27"/>
      <c r="D25" s="27">
        <v>15140</v>
      </c>
      <c r="E25" s="117"/>
      <c r="F25" s="27"/>
    </row>
    <row r="26" spans="1:6">
      <c r="B26" s="101" t="s">
        <v>154</v>
      </c>
      <c r="C26" s="27"/>
      <c r="D26" s="27">
        <v>1816.8</v>
      </c>
      <c r="E26" s="117"/>
      <c r="F26" s="27"/>
    </row>
    <row r="27" spans="1:6" thickBot="1">
      <c r="B27" s="2" t="s">
        <v>160</v>
      </c>
      <c r="C27" s="31">
        <f>C24</f>
        <v>16956.8</v>
      </c>
      <c r="D27" s="31">
        <f>D26+D25</f>
        <v>16956.8</v>
      </c>
      <c r="E27" s="117"/>
      <c r="F27" s="27"/>
    </row>
    <row r="28" spans="1:6" thickTop="1">
      <c r="B28" s="73" t="s">
        <v>161</v>
      </c>
      <c r="C28" s="27"/>
      <c r="D28" s="27"/>
      <c r="E28" s="117"/>
      <c r="F28" s="27"/>
    </row>
    <row r="29" spans="1:6">
      <c r="A29" t="s">
        <v>162</v>
      </c>
      <c r="B29" s="2"/>
      <c r="C29" s="27"/>
      <c r="D29" s="27"/>
      <c r="E29" s="117"/>
      <c r="F29" s="27"/>
    </row>
    <row r="30" spans="1:6">
      <c r="B30" s="2" t="s">
        <v>163</v>
      </c>
      <c r="C30" s="27">
        <v>9000</v>
      </c>
      <c r="D30" s="27"/>
      <c r="E30" s="117"/>
      <c r="F30" s="27"/>
    </row>
    <row r="31" spans="1:6">
      <c r="B31" s="101" t="s">
        <v>127</v>
      </c>
      <c r="C31" s="27"/>
      <c r="D31" s="27">
        <v>9000</v>
      </c>
      <c r="E31" s="117"/>
      <c r="F31" s="27"/>
    </row>
    <row r="32" spans="1:6" ht="45.75">
      <c r="B32" s="99" t="s">
        <v>164</v>
      </c>
      <c r="C32" s="27">
        <v>9000</v>
      </c>
      <c r="D32" s="27">
        <v>9000</v>
      </c>
      <c r="E32" s="117"/>
      <c r="F32" s="27"/>
    </row>
    <row r="33" spans="1:6" thickBot="1">
      <c r="B33" s="73" t="s">
        <v>165</v>
      </c>
      <c r="C33" s="31"/>
      <c r="D33" s="31"/>
      <c r="E33" s="117"/>
      <c r="F33" s="27"/>
    </row>
    <row r="34" spans="1:6" thickTop="1">
      <c r="A34" t="s">
        <v>166</v>
      </c>
      <c r="B34" s="73"/>
      <c r="C34" s="27"/>
      <c r="D34" s="27"/>
      <c r="E34" s="117"/>
      <c r="F34" s="27"/>
    </row>
    <row r="35" spans="1:6">
      <c r="B35" s="2" t="s">
        <v>167</v>
      </c>
      <c r="C35" s="22">
        <v>7989.5</v>
      </c>
      <c r="F35" s="27"/>
    </row>
    <row r="36" spans="1:6">
      <c r="B36" s="2" t="s">
        <v>150</v>
      </c>
      <c r="C36" s="27">
        <v>1009.2</v>
      </c>
      <c r="D36" s="27"/>
      <c r="E36" s="117"/>
      <c r="F36" s="27"/>
    </row>
    <row r="37" spans="1:6">
      <c r="B37" s="2" t="s">
        <v>168</v>
      </c>
      <c r="C37" s="27">
        <v>420.5</v>
      </c>
      <c r="F37" s="27"/>
    </row>
    <row r="38" spans="1:6">
      <c r="B38" s="101" t="s">
        <v>169</v>
      </c>
      <c r="C38" s="27"/>
      <c r="D38" s="27">
        <v>8410</v>
      </c>
      <c r="E38" s="117"/>
      <c r="F38" s="27"/>
    </row>
    <row r="39" spans="1:6" thickBot="1">
      <c r="B39" s="101" t="s">
        <v>154</v>
      </c>
      <c r="C39" s="31"/>
      <c r="D39" s="31">
        <v>1009.2</v>
      </c>
      <c r="E39" s="117"/>
      <c r="F39" s="27"/>
    </row>
    <row r="40" spans="1:6" thickTop="1">
      <c r="B40" s="102" t="s">
        <v>170</v>
      </c>
      <c r="C40" s="27">
        <f>C35+C36+C37</f>
        <v>9419.2000000000007</v>
      </c>
      <c r="D40" s="27">
        <f>D39+D38</f>
        <v>9419.2000000000007</v>
      </c>
      <c r="E40" s="117"/>
      <c r="F40" s="27"/>
    </row>
    <row r="41" spans="1:6">
      <c r="B41" s="73" t="s">
        <v>171</v>
      </c>
      <c r="C41" s="27"/>
      <c r="D41" s="27"/>
      <c r="E41" s="117"/>
      <c r="F41" s="27"/>
    </row>
    <row r="42" spans="1:6">
      <c r="A42" t="s">
        <v>172</v>
      </c>
      <c r="B42" s="2" t="s">
        <v>127</v>
      </c>
      <c r="C42" s="27">
        <v>10000</v>
      </c>
      <c r="D42" s="27"/>
      <c r="E42" s="117"/>
      <c r="F42" s="27"/>
    </row>
    <row r="43" spans="1:6" thickBot="1">
      <c r="B43" s="101" t="s">
        <v>150</v>
      </c>
      <c r="C43" s="31"/>
      <c r="D43" s="31">
        <v>10000</v>
      </c>
      <c r="E43" s="117"/>
      <c r="F43" s="27"/>
    </row>
    <row r="44" spans="1:6" thickTop="1">
      <c r="B44" s="104" t="s">
        <v>173</v>
      </c>
      <c r="C44" s="27">
        <f>C42</f>
        <v>10000</v>
      </c>
      <c r="D44" s="27">
        <f>D43</f>
        <v>10000</v>
      </c>
      <c r="E44" s="117"/>
      <c r="F44" s="27"/>
    </row>
    <row r="45" spans="1:6">
      <c r="B45" s="73" t="s">
        <v>174</v>
      </c>
      <c r="C45" s="27"/>
      <c r="D45" s="27"/>
      <c r="E45" s="117"/>
      <c r="F45" s="27"/>
    </row>
    <row r="46" spans="1:6">
      <c r="A46" t="s">
        <v>175</v>
      </c>
      <c r="B46" s="2" t="s">
        <v>176</v>
      </c>
      <c r="C46" s="27">
        <v>5000</v>
      </c>
      <c r="D46" s="27"/>
      <c r="E46" s="117"/>
      <c r="F46" s="27"/>
    </row>
    <row r="47" spans="1:6">
      <c r="B47" s="101" t="s">
        <v>177</v>
      </c>
      <c r="C47" s="27"/>
      <c r="D47" s="27">
        <v>5000</v>
      </c>
      <c r="E47" s="117"/>
      <c r="F47" s="27"/>
    </row>
    <row r="48" spans="1:6">
      <c r="B48" s="104" t="s">
        <v>178</v>
      </c>
      <c r="C48" s="27">
        <f>C46</f>
        <v>5000</v>
      </c>
      <c r="D48" s="27">
        <f>D47</f>
        <v>5000</v>
      </c>
      <c r="E48" s="117"/>
      <c r="F48" s="27"/>
    </row>
    <row r="49" spans="1:6">
      <c r="A49" t="s">
        <v>179</v>
      </c>
      <c r="B49" s="73" t="s">
        <v>180</v>
      </c>
      <c r="C49" s="27"/>
      <c r="D49" s="27"/>
      <c r="E49" s="117"/>
      <c r="F49" s="27"/>
    </row>
    <row r="50" spans="1:6" thickBot="1">
      <c r="B50" s="2" t="s">
        <v>181</v>
      </c>
      <c r="C50" s="82">
        <v>5980</v>
      </c>
      <c r="D50" s="28"/>
      <c r="E50" s="118"/>
      <c r="F50" s="28"/>
    </row>
    <row r="51" spans="1:6" thickTop="1">
      <c r="B51" s="2" t="s">
        <v>182</v>
      </c>
      <c r="C51" s="82">
        <v>717.6</v>
      </c>
      <c r="D51" s="27"/>
      <c r="E51" s="117"/>
      <c r="F51" s="27"/>
    </row>
    <row r="52" spans="1:6" thickBot="1">
      <c r="B52" s="101" t="s">
        <v>98</v>
      </c>
      <c r="C52" s="31"/>
      <c r="D52" s="31">
        <v>6697.6</v>
      </c>
      <c r="E52" s="117"/>
      <c r="F52" s="27"/>
    </row>
    <row r="53" spans="1:6" thickTop="1">
      <c r="B53" s="104" t="s">
        <v>183</v>
      </c>
      <c r="C53" s="82">
        <f>C50+C51</f>
        <v>6697.6</v>
      </c>
      <c r="D53" s="27">
        <f>D52</f>
        <v>6697.6</v>
      </c>
      <c r="E53" s="117"/>
      <c r="F53" s="27"/>
    </row>
    <row r="54" spans="1:6">
      <c r="A54" t="s">
        <v>184</v>
      </c>
      <c r="B54" s="2"/>
      <c r="C54" s="82"/>
      <c r="D54" s="27"/>
      <c r="E54" s="117"/>
      <c r="F54" s="27"/>
    </row>
    <row r="55" spans="1:6" thickBot="1">
      <c r="B55" s="73" t="s">
        <v>185</v>
      </c>
      <c r="C55" s="82"/>
      <c r="D55" s="28"/>
      <c r="E55" s="118"/>
      <c r="F55" s="28"/>
    </row>
    <row r="56" spans="1:6" thickTop="1">
      <c r="B56" s="2" t="s">
        <v>186</v>
      </c>
      <c r="C56" s="83">
        <v>490</v>
      </c>
      <c r="D56" s="27"/>
      <c r="E56" s="117"/>
      <c r="F56" s="27"/>
    </row>
    <row r="57" spans="1:6" thickBot="1">
      <c r="B57" s="2" t="s">
        <v>20</v>
      </c>
      <c r="C57" s="31">
        <v>58.8</v>
      </c>
      <c r="D57" s="31"/>
      <c r="E57" s="117"/>
      <c r="F57" s="27"/>
    </row>
    <row r="58" spans="1:6" thickTop="1">
      <c r="B58" s="106" t="s">
        <v>167</v>
      </c>
      <c r="C58" s="83"/>
      <c r="D58" s="27">
        <v>548.79999999999995</v>
      </c>
      <c r="E58" s="117"/>
      <c r="F58" s="27"/>
    </row>
    <row r="59" spans="1:6">
      <c r="B59" s="2" t="s">
        <v>187</v>
      </c>
      <c r="C59" s="82">
        <f>C57+C56</f>
        <v>548.79999999999995</v>
      </c>
      <c r="D59" s="82">
        <v>548.79999999999995</v>
      </c>
      <c r="E59" s="119"/>
      <c r="F59" s="17"/>
    </row>
    <row r="60" spans="1:6">
      <c r="A60" t="s">
        <v>188</v>
      </c>
      <c r="B60" s="74"/>
      <c r="C60" s="82"/>
      <c r="D60" s="82"/>
      <c r="E60" s="119"/>
      <c r="F60" s="17"/>
    </row>
    <row r="61" spans="1:6">
      <c r="B61" s="107" t="s">
        <v>189</v>
      </c>
      <c r="C61" s="82"/>
      <c r="D61" s="82"/>
      <c r="E61" s="119"/>
      <c r="F61" s="17"/>
    </row>
    <row r="62" spans="1:6" thickBot="1">
      <c r="B62" s="75" t="s">
        <v>150</v>
      </c>
      <c r="C62" s="31">
        <v>11368</v>
      </c>
      <c r="D62" s="31"/>
      <c r="E62" s="120"/>
      <c r="F62" s="17"/>
    </row>
    <row r="63" spans="1:6" thickTop="1">
      <c r="B63" s="106" t="s">
        <v>190</v>
      </c>
      <c r="C63" s="82"/>
      <c r="D63" s="82">
        <v>10150</v>
      </c>
      <c r="E63" s="119"/>
      <c r="F63" s="17"/>
    </row>
    <row r="64" spans="1:6">
      <c r="B64" s="108" t="s">
        <v>191</v>
      </c>
      <c r="C64" s="82"/>
      <c r="D64" s="82">
        <v>1218</v>
      </c>
      <c r="E64" s="119"/>
      <c r="F64" s="17"/>
    </row>
    <row r="65" spans="1:11">
      <c r="B65" t="s">
        <v>192</v>
      </c>
      <c r="C65" s="82">
        <v>11368</v>
      </c>
      <c r="D65" s="82">
        <f>D64+D63</f>
        <v>11368</v>
      </c>
      <c r="E65" s="119"/>
      <c r="F65" s="17"/>
    </row>
    <row r="66" spans="1:11" thickBot="1">
      <c r="A66" t="s">
        <v>193</v>
      </c>
      <c r="B66" s="75"/>
      <c r="C66" s="31"/>
      <c r="D66" s="31"/>
      <c r="E66" s="120"/>
      <c r="F66" s="17"/>
    </row>
    <row r="67" spans="1:11" thickTop="1">
      <c r="B67" s="73" t="s">
        <v>194</v>
      </c>
      <c r="C67" s="78"/>
      <c r="D67" s="78"/>
      <c r="E67" s="120"/>
      <c r="F67" s="17"/>
    </row>
    <row r="68" spans="1:11">
      <c r="B68" s="75" t="s">
        <v>195</v>
      </c>
      <c r="C68" s="82">
        <v>200</v>
      </c>
      <c r="D68" s="82"/>
      <c r="E68" s="119"/>
      <c r="F68" s="17"/>
    </row>
    <row r="69" spans="1:11">
      <c r="B69" s="108" t="s">
        <v>150</v>
      </c>
      <c r="C69" s="82"/>
      <c r="D69" s="82">
        <v>200</v>
      </c>
      <c r="E69" s="119"/>
      <c r="F69" s="17"/>
    </row>
    <row r="70" spans="1:11" ht="45.75">
      <c r="B70" s="76" t="s">
        <v>196</v>
      </c>
      <c r="C70" s="82">
        <v>200</v>
      </c>
      <c r="D70" s="82">
        <v>200</v>
      </c>
      <c r="E70" s="119"/>
      <c r="F70" s="17"/>
    </row>
    <row r="71" spans="1:11" thickBot="1">
      <c r="A71" t="s">
        <v>197</v>
      </c>
      <c r="B71" s="75"/>
      <c r="C71" s="31"/>
      <c r="D71" s="31"/>
      <c r="E71" s="120"/>
      <c r="F71" s="17"/>
    </row>
    <row r="72" spans="1:11" thickTop="1">
      <c r="B72" s="73" t="s">
        <v>198</v>
      </c>
      <c r="C72" s="82"/>
      <c r="D72" s="82"/>
      <c r="E72" s="119"/>
      <c r="F72" s="17"/>
    </row>
    <row r="73" spans="1:11">
      <c r="B73" s="75" t="s">
        <v>199</v>
      </c>
      <c r="C73" s="82">
        <v>716.8</v>
      </c>
      <c r="D73" s="82"/>
      <c r="E73" s="119"/>
      <c r="F73" s="17"/>
    </row>
    <row r="74" spans="1:11">
      <c r="B74" s="108" t="s">
        <v>200</v>
      </c>
      <c r="C74" s="82"/>
      <c r="D74" s="82">
        <v>640</v>
      </c>
      <c r="E74" s="119"/>
      <c r="F74" s="17"/>
    </row>
    <row r="75" spans="1:11">
      <c r="B75" s="108" t="s">
        <v>201</v>
      </c>
      <c r="C75" s="82"/>
      <c r="D75" s="82">
        <v>76.8</v>
      </c>
      <c r="E75" s="119"/>
      <c r="F75" s="17"/>
    </row>
    <row r="76" spans="1:11" ht="30.75">
      <c r="B76" s="76" t="s">
        <v>202</v>
      </c>
      <c r="C76" s="31">
        <v>716.8</v>
      </c>
      <c r="D76" s="31">
        <v>716.8</v>
      </c>
      <c r="E76" s="120"/>
      <c r="F76" s="17"/>
    </row>
    <row r="77" spans="1:11" thickTop="1">
      <c r="A77" t="s">
        <v>203</v>
      </c>
      <c r="B77" s="73"/>
      <c r="C77" s="82"/>
      <c r="D77" s="82"/>
      <c r="E77" s="119"/>
      <c r="F77" s="17"/>
    </row>
    <row r="78" spans="1:11" s="84" customFormat="1">
      <c r="B78" s="107" t="s">
        <v>204</v>
      </c>
      <c r="C78" s="83"/>
      <c r="D78" s="83"/>
      <c r="E78" s="121"/>
      <c r="F78" s="14"/>
      <c r="G78" s="86"/>
      <c r="H78" s="86"/>
      <c r="I78" s="86"/>
      <c r="J78" s="86"/>
      <c r="K78" s="85"/>
    </row>
    <row r="79" spans="1:11" s="84" customFormat="1">
      <c r="B79" s="75" t="s">
        <v>205</v>
      </c>
      <c r="C79" s="83">
        <v>1680</v>
      </c>
      <c r="D79" s="83"/>
      <c r="E79" s="121"/>
      <c r="F79" s="14"/>
      <c r="G79" s="87"/>
      <c r="H79" s="86"/>
      <c r="I79" s="88"/>
      <c r="J79" s="86"/>
    </row>
    <row r="80" spans="1:11" s="84" customFormat="1">
      <c r="B80" s="108" t="s">
        <v>206</v>
      </c>
      <c r="C80" s="83"/>
      <c r="D80" s="83">
        <v>1500</v>
      </c>
      <c r="E80" s="121"/>
      <c r="F80" s="14"/>
      <c r="G80" s="86"/>
      <c r="H80" s="86"/>
      <c r="I80" s="86"/>
      <c r="J80" s="86"/>
    </row>
    <row r="81" spans="1:10" s="84" customFormat="1" thickBot="1">
      <c r="B81" s="108" t="s">
        <v>191</v>
      </c>
      <c r="C81" s="31"/>
      <c r="D81" s="31">
        <v>180</v>
      </c>
      <c r="E81" s="120"/>
      <c r="F81" s="14"/>
      <c r="G81" s="86"/>
      <c r="H81" s="86"/>
      <c r="I81" s="86"/>
      <c r="J81" s="86"/>
    </row>
    <row r="82" spans="1:10" ht="30.75">
      <c r="B82" s="109" t="s">
        <v>207</v>
      </c>
      <c r="C82" s="82">
        <v>1680</v>
      </c>
      <c r="D82" s="82">
        <v>1680</v>
      </c>
      <c r="E82" s="119"/>
      <c r="F82" s="17"/>
    </row>
    <row r="83" spans="1:10">
      <c r="A83" t="s">
        <v>208</v>
      </c>
      <c r="B83" s="75"/>
      <c r="C83" s="82"/>
      <c r="D83" s="82"/>
      <c r="E83" s="119"/>
      <c r="F83" s="17"/>
    </row>
    <row r="84" spans="1:10">
      <c r="B84" s="107" t="s">
        <v>209</v>
      </c>
      <c r="C84" s="82"/>
      <c r="D84" s="82"/>
      <c r="E84" s="119"/>
      <c r="F84" s="17"/>
    </row>
    <row r="85" spans="1:10">
      <c r="B85" s="75" t="s">
        <v>127</v>
      </c>
      <c r="C85" s="22">
        <v>1569</v>
      </c>
      <c r="D85" s="82"/>
      <c r="E85" s="119"/>
      <c r="F85" s="17"/>
    </row>
    <row r="86" spans="1:10" thickBot="1">
      <c r="B86" s="75" t="s">
        <v>210</v>
      </c>
      <c r="C86" s="31">
        <v>27</v>
      </c>
      <c r="D86" s="31"/>
      <c r="E86" s="120"/>
      <c r="F86" s="17"/>
    </row>
    <row r="87" spans="1:10" thickTop="1">
      <c r="B87" s="105" t="s">
        <v>205</v>
      </c>
      <c r="C87" s="82"/>
      <c r="D87" s="82">
        <v>1596</v>
      </c>
      <c r="E87" s="119"/>
      <c r="F87" s="17"/>
    </row>
    <row r="88" spans="1:10" ht="30.75">
      <c r="B88" s="76" t="s">
        <v>211</v>
      </c>
      <c r="C88" s="82">
        <v>1596</v>
      </c>
      <c r="D88" s="82">
        <v>1596</v>
      </c>
      <c r="E88" s="119"/>
      <c r="F88" s="17"/>
    </row>
    <row r="89" spans="1:10">
      <c r="A89" t="s">
        <v>212</v>
      </c>
      <c r="B89" s="75"/>
      <c r="C89" s="82"/>
      <c r="D89" s="82"/>
      <c r="E89" s="119"/>
      <c r="F89" s="17"/>
    </row>
    <row r="90" spans="1:10">
      <c r="B90" s="107" t="s">
        <v>209</v>
      </c>
      <c r="C90" s="82"/>
      <c r="D90" s="82"/>
      <c r="E90" s="119"/>
      <c r="F90" s="17"/>
    </row>
    <row r="91" spans="1:10" thickBot="1">
      <c r="B91" s="75" t="s">
        <v>213</v>
      </c>
      <c r="C91" s="31">
        <v>241</v>
      </c>
      <c r="D91" s="31"/>
      <c r="E91" s="120"/>
      <c r="F91" s="17"/>
    </row>
    <row r="92" spans="1:10" thickTop="1">
      <c r="B92" s="75" t="s">
        <v>20</v>
      </c>
      <c r="C92" s="82">
        <v>28.92</v>
      </c>
      <c r="D92" s="82"/>
      <c r="E92" s="119"/>
      <c r="F92" s="17"/>
    </row>
    <row r="93" spans="1:10">
      <c r="B93" s="106" t="s">
        <v>150</v>
      </c>
      <c r="C93" s="82"/>
      <c r="D93" s="82">
        <v>269.92</v>
      </c>
      <c r="E93" s="119"/>
      <c r="F93" s="17"/>
    </row>
    <row r="94" spans="1:10" ht="30.75">
      <c r="B94" s="76" t="s">
        <v>214</v>
      </c>
      <c r="C94" s="82">
        <v>269.92</v>
      </c>
      <c r="D94" s="82">
        <v>269.92</v>
      </c>
      <c r="E94" s="119"/>
      <c r="F94" s="17"/>
    </row>
    <row r="95" spans="1:10">
      <c r="A95" t="s">
        <v>215</v>
      </c>
      <c r="B95" s="75"/>
      <c r="C95" s="82"/>
      <c r="D95" s="82"/>
      <c r="E95" s="119"/>
      <c r="F95" s="17"/>
    </row>
    <row r="96" spans="1:10">
      <c r="B96" s="107" t="s">
        <v>216</v>
      </c>
      <c r="C96" s="82"/>
      <c r="D96" s="82"/>
      <c r="E96" s="119"/>
      <c r="F96" s="17"/>
    </row>
    <row r="97" spans="1:6">
      <c r="B97" s="75" t="s">
        <v>217</v>
      </c>
      <c r="C97" s="78">
        <v>75</v>
      </c>
      <c r="D97" s="78"/>
      <c r="E97" s="120"/>
      <c r="F97" s="17"/>
    </row>
    <row r="98" spans="1:6" thickBot="1">
      <c r="B98" s="75" t="s">
        <v>129</v>
      </c>
      <c r="C98" s="31">
        <v>9</v>
      </c>
      <c r="D98" s="31"/>
      <c r="E98" s="120"/>
      <c r="F98" s="17"/>
    </row>
    <row r="99" spans="1:6" thickTop="1">
      <c r="B99" s="108" t="s">
        <v>218</v>
      </c>
      <c r="C99" s="82"/>
      <c r="D99" s="82">
        <f>C98+C97</f>
        <v>84</v>
      </c>
      <c r="E99" s="119"/>
      <c r="F99" s="17"/>
    </row>
    <row r="100" spans="1:6" ht="30.75">
      <c r="B100" s="110" t="s">
        <v>219</v>
      </c>
      <c r="C100" s="82">
        <v>84</v>
      </c>
      <c r="D100" s="82">
        <v>84</v>
      </c>
      <c r="E100" s="119"/>
      <c r="F100" s="17"/>
    </row>
    <row r="101" spans="1:6">
      <c r="A101" t="s">
        <v>220</v>
      </c>
      <c r="B101" s="75"/>
      <c r="C101" s="82"/>
      <c r="D101" s="82"/>
      <c r="E101" s="119"/>
      <c r="F101" s="17"/>
    </row>
    <row r="102" spans="1:6">
      <c r="B102" s="107" t="s">
        <v>216</v>
      </c>
      <c r="C102" s="82"/>
      <c r="D102" s="82"/>
      <c r="E102" s="119"/>
      <c r="F102" s="17"/>
    </row>
    <row r="103" spans="1:6">
      <c r="B103" s="75" t="s">
        <v>150</v>
      </c>
      <c r="C103" s="82">
        <v>2027.2</v>
      </c>
      <c r="F103" s="17"/>
    </row>
    <row r="104" spans="1:6" thickBot="1">
      <c r="B104" s="75" t="s">
        <v>221</v>
      </c>
      <c r="C104" s="31"/>
      <c r="D104" s="31">
        <v>1810</v>
      </c>
      <c r="E104" s="120"/>
      <c r="F104" s="17"/>
    </row>
    <row r="105" spans="1:6" thickTop="1">
      <c r="B105" s="106" t="s">
        <v>129</v>
      </c>
      <c r="C105" s="82"/>
      <c r="D105" s="82">
        <v>217</v>
      </c>
      <c r="E105" s="119"/>
      <c r="F105" s="17"/>
    </row>
    <row r="106" spans="1:6" ht="30.75">
      <c r="B106" s="76" t="s">
        <v>222</v>
      </c>
      <c r="C106" s="82">
        <v>2027.2</v>
      </c>
      <c r="D106" s="82">
        <v>2027</v>
      </c>
      <c r="E106" s="119"/>
      <c r="F106" s="17"/>
    </row>
    <row r="107" spans="1:6">
      <c r="A107" t="s">
        <v>223</v>
      </c>
      <c r="B107" s="75"/>
      <c r="C107" s="82"/>
      <c r="D107" s="82"/>
      <c r="E107" s="119"/>
      <c r="F107" s="17"/>
    </row>
    <row r="108" spans="1:6">
      <c r="B108" s="107" t="s">
        <v>224</v>
      </c>
      <c r="C108" s="82"/>
      <c r="F108" s="111"/>
    </row>
    <row r="109" spans="1:6" thickBot="1">
      <c r="B109" s="75" t="s">
        <v>101</v>
      </c>
      <c r="C109" s="31">
        <v>1000</v>
      </c>
      <c r="D109" s="31"/>
      <c r="E109" s="120"/>
      <c r="F109" s="17"/>
    </row>
    <row r="110" spans="1:6" thickTop="1">
      <c r="B110" s="108" t="s">
        <v>127</v>
      </c>
      <c r="C110" s="82"/>
      <c r="D110" s="82">
        <v>1000</v>
      </c>
      <c r="E110" s="119"/>
      <c r="F110" s="17"/>
    </row>
    <row r="111" spans="1:6" ht="30.75">
      <c r="B111" s="109" t="s">
        <v>225</v>
      </c>
      <c r="C111" s="82">
        <v>1000</v>
      </c>
      <c r="D111" s="82">
        <v>1000</v>
      </c>
      <c r="E111" s="119"/>
      <c r="F111" s="17"/>
    </row>
    <row r="112" spans="1:6">
      <c r="A112" t="s">
        <v>226</v>
      </c>
      <c r="B112" s="75"/>
      <c r="C112" s="82"/>
      <c r="D112" s="82"/>
      <c r="E112" s="119"/>
      <c r="F112" s="17"/>
    </row>
    <row r="113" spans="1:6">
      <c r="B113" s="107" t="s">
        <v>227</v>
      </c>
      <c r="C113" s="82"/>
      <c r="F113" s="17"/>
    </row>
    <row r="114" spans="1:6">
      <c r="B114" s="75" t="s">
        <v>127</v>
      </c>
      <c r="C114" s="82">
        <v>4000</v>
      </c>
      <c r="F114" s="17"/>
    </row>
    <row r="115" spans="1:6">
      <c r="B115" s="108" t="s">
        <v>228</v>
      </c>
      <c r="C115" s="82"/>
      <c r="D115" s="82">
        <v>4000</v>
      </c>
      <c r="E115" s="119"/>
      <c r="F115" s="17"/>
    </row>
    <row r="116" spans="1:6" ht="45.75">
      <c r="B116" s="76" t="s">
        <v>229</v>
      </c>
      <c r="C116" s="82">
        <v>4000</v>
      </c>
      <c r="D116" s="82">
        <v>4000</v>
      </c>
      <c r="E116" s="119"/>
      <c r="F116" s="17"/>
    </row>
    <row r="117" spans="1:6" thickBot="1">
      <c r="A117" t="s">
        <v>230</v>
      </c>
      <c r="B117" s="75"/>
      <c r="C117" s="31"/>
      <c r="D117" s="31"/>
      <c r="E117" s="120"/>
      <c r="F117" s="17"/>
    </row>
    <row r="118" spans="1:6" thickTop="1">
      <c r="B118" s="107" t="s">
        <v>231</v>
      </c>
      <c r="C118" s="82"/>
      <c r="D118" s="82"/>
      <c r="E118" s="119"/>
      <c r="F118" s="17"/>
    </row>
    <row r="119" spans="1:6">
      <c r="B119" s="104" t="s">
        <v>150</v>
      </c>
      <c r="C119" s="82">
        <v>8626.4</v>
      </c>
      <c r="D119" s="82"/>
      <c r="E119" s="119"/>
      <c r="F119" s="17"/>
    </row>
    <row r="120" spans="1:6">
      <c r="B120" s="75" t="s">
        <v>232</v>
      </c>
      <c r="C120" s="82">
        <v>147.6</v>
      </c>
      <c r="D120" s="82"/>
      <c r="E120" s="119"/>
      <c r="F120" s="17"/>
    </row>
    <row r="121" spans="1:6">
      <c r="B121" s="75" t="s">
        <v>233</v>
      </c>
      <c r="C121" s="82">
        <v>410</v>
      </c>
      <c r="D121" s="82"/>
      <c r="E121" s="119"/>
      <c r="F121" s="17"/>
    </row>
    <row r="122" spans="1:6">
      <c r="B122" s="112" t="s">
        <v>234</v>
      </c>
      <c r="C122" s="82"/>
      <c r="D122" s="82">
        <v>8200</v>
      </c>
      <c r="E122" s="119"/>
      <c r="F122" s="17"/>
    </row>
    <row r="123" spans="1:6">
      <c r="B123" s="106" t="s">
        <v>20</v>
      </c>
      <c r="C123" s="82"/>
      <c r="D123" s="82">
        <v>984</v>
      </c>
      <c r="E123" s="119"/>
      <c r="F123" s="17"/>
    </row>
    <row r="124" spans="1:6" ht="30.75">
      <c r="B124" s="76" t="s">
        <v>235</v>
      </c>
      <c r="C124" s="82">
        <f>C121+C120+C119</f>
        <v>9184</v>
      </c>
      <c r="D124" s="82">
        <f>D123+D122</f>
        <v>9184</v>
      </c>
      <c r="E124" s="119"/>
      <c r="F124" s="17"/>
    </row>
    <row r="125" spans="1:6">
      <c r="A125" t="s">
        <v>236</v>
      </c>
      <c r="B125" s="75"/>
      <c r="C125" s="82"/>
      <c r="D125" s="82"/>
      <c r="E125" s="119"/>
      <c r="F125" s="17"/>
    </row>
    <row r="126" spans="1:6">
      <c r="B126" s="107" t="s">
        <v>237</v>
      </c>
      <c r="C126" s="82"/>
      <c r="D126" s="82"/>
      <c r="E126" s="119"/>
      <c r="F126" s="17"/>
    </row>
    <row r="127" spans="1:6">
      <c r="B127" s="75" t="s">
        <v>127</v>
      </c>
      <c r="C127" s="82">
        <v>3502.18</v>
      </c>
      <c r="D127" s="82"/>
      <c r="E127" s="119"/>
      <c r="F127" s="17"/>
    </row>
    <row r="128" spans="1:6">
      <c r="B128" s="108" t="s">
        <v>150</v>
      </c>
      <c r="C128" s="82"/>
      <c r="D128" s="82">
        <v>3502.18</v>
      </c>
      <c r="E128" s="119"/>
      <c r="F128" s="17"/>
    </row>
    <row r="129" spans="1:12">
      <c r="B129" s="75" t="s">
        <v>238</v>
      </c>
      <c r="C129" s="82">
        <v>3502.18</v>
      </c>
      <c r="D129" s="82">
        <v>3502.18</v>
      </c>
      <c r="E129" s="119"/>
      <c r="F129" s="17"/>
      <c r="G129" s="89"/>
      <c r="J129" s="89"/>
    </row>
    <row r="130" spans="1:12">
      <c r="A130" t="s">
        <v>239</v>
      </c>
      <c r="B130" s="75"/>
      <c r="C130" s="82"/>
      <c r="D130" s="82"/>
      <c r="E130" s="119"/>
      <c r="F130" s="17"/>
    </row>
    <row r="131" spans="1:12">
      <c r="B131" s="107" t="s">
        <v>240</v>
      </c>
      <c r="C131" s="82"/>
      <c r="D131" s="82"/>
      <c r="E131" s="119"/>
      <c r="F131" s="17"/>
    </row>
    <row r="132" spans="1:12">
      <c r="B132" s="75" t="s">
        <v>241</v>
      </c>
      <c r="C132" s="82">
        <v>16500</v>
      </c>
      <c r="D132" s="82"/>
      <c r="E132" s="119"/>
      <c r="F132" s="17"/>
    </row>
    <row r="133" spans="1:12">
      <c r="B133" s="75" t="s">
        <v>242</v>
      </c>
      <c r="C133" s="82">
        <v>12800</v>
      </c>
      <c r="D133" s="82"/>
      <c r="E133" s="119"/>
      <c r="F133" s="17"/>
      <c r="L133">
        <v>1523.87</v>
      </c>
    </row>
    <row r="134" spans="1:12" thickBot="1">
      <c r="B134" s="75" t="s">
        <v>243</v>
      </c>
      <c r="C134" s="31">
        <v>1250</v>
      </c>
      <c r="D134" s="31"/>
      <c r="E134" s="120"/>
      <c r="F134" s="17"/>
      <c r="H134" s="89"/>
      <c r="I134" s="89"/>
    </row>
    <row r="135" spans="1:12" thickTop="1">
      <c r="B135" s="104" t="s">
        <v>244</v>
      </c>
      <c r="C135" s="82">
        <v>1000</v>
      </c>
      <c r="D135" s="82"/>
      <c r="E135" s="119"/>
      <c r="F135" s="17"/>
      <c r="H135" s="89"/>
    </row>
    <row r="136" spans="1:12">
      <c r="B136" s="75" t="s">
        <v>245</v>
      </c>
      <c r="C136" s="82">
        <v>2090.5500000000002</v>
      </c>
      <c r="D136" s="82"/>
      <c r="E136" s="119"/>
      <c r="F136" s="17"/>
    </row>
    <row r="137" spans="1:12">
      <c r="B137" s="75" t="s">
        <v>246</v>
      </c>
      <c r="C137" s="82">
        <v>1621.76</v>
      </c>
      <c r="D137" s="82"/>
      <c r="E137" s="119"/>
      <c r="F137" s="17"/>
    </row>
    <row r="138" spans="1:12" thickBot="1">
      <c r="B138" s="123" t="s">
        <v>127</v>
      </c>
      <c r="C138" s="31"/>
      <c r="D138" s="31">
        <v>29934.81</v>
      </c>
      <c r="E138" s="120"/>
      <c r="F138" s="17"/>
    </row>
    <row r="139" spans="1:12" thickTop="1">
      <c r="B139" s="106" t="s">
        <v>247</v>
      </c>
      <c r="C139" s="82"/>
      <c r="D139" s="82">
        <v>5127.5</v>
      </c>
      <c r="E139" s="119"/>
      <c r="F139" s="17"/>
    </row>
    <row r="140" spans="1:12">
      <c r="B140" s="124" t="s">
        <v>248</v>
      </c>
      <c r="C140" s="82"/>
      <c r="D140" s="82">
        <v>200</v>
      </c>
      <c r="E140" s="119"/>
      <c r="F140" s="17"/>
    </row>
    <row r="141" spans="1:12" ht="30.75">
      <c r="B141" s="77" t="s">
        <v>249</v>
      </c>
      <c r="C141" s="82">
        <v>35262.31</v>
      </c>
      <c r="D141" s="82">
        <v>35262.31</v>
      </c>
      <c r="E141" s="119"/>
      <c r="F141" s="17"/>
    </row>
    <row r="142" spans="1:12" thickBot="1">
      <c r="A142" t="s">
        <v>250</v>
      </c>
      <c r="C142" s="31"/>
      <c r="D142" s="31" t="s">
        <v>251</v>
      </c>
      <c r="E142" s="122"/>
    </row>
    <row r="143" spans="1:12" thickTop="1">
      <c r="B143" s="125" t="s">
        <v>240</v>
      </c>
    </row>
    <row r="144" spans="1:12" ht="15" customHeight="1">
      <c r="B144" t="s">
        <v>252</v>
      </c>
      <c r="C144" s="22">
        <v>6000</v>
      </c>
    </row>
    <row r="145" spans="1:4" ht="15" customHeight="1">
      <c r="B145" s="124" t="s">
        <v>127</v>
      </c>
      <c r="D145" s="22">
        <v>6000</v>
      </c>
    </row>
    <row r="146" spans="1:4" ht="15" customHeight="1">
      <c r="B146" t="s">
        <v>253</v>
      </c>
      <c r="C146" s="22">
        <v>6000</v>
      </c>
      <c r="D146" s="22">
        <v>6000</v>
      </c>
    </row>
    <row r="147" spans="1:4" ht="15" customHeight="1">
      <c r="A147" t="s">
        <v>254</v>
      </c>
    </row>
    <row r="148" spans="1:4" ht="15" customHeight="1">
      <c r="B148" s="126" t="s">
        <v>240</v>
      </c>
    </row>
    <row r="149" spans="1:4" ht="15" customHeight="1">
      <c r="B149" t="s">
        <v>255</v>
      </c>
      <c r="C149" s="22">
        <v>621.6</v>
      </c>
    </row>
    <row r="150" spans="1:4" ht="15" customHeight="1">
      <c r="B150" s="124" t="s">
        <v>256</v>
      </c>
      <c r="D150" s="22">
        <v>621.6</v>
      </c>
    </row>
    <row r="151" spans="1:4" ht="15" customHeight="1">
      <c r="B151" t="s">
        <v>257</v>
      </c>
    </row>
  </sheetData>
  <mergeCells count="2">
    <mergeCell ref="C3:F3"/>
    <mergeCell ref="C4:F4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6BE30-FCB1-46E9-876C-D13C07C66125}">
  <dimension ref="A3:D9"/>
  <sheetViews>
    <sheetView workbookViewId="0">
      <selection activeCell="B11" sqref="B11"/>
    </sheetView>
  </sheetViews>
  <sheetFormatPr defaultRowHeight="15"/>
  <sheetData>
    <row r="3" spans="1:4">
      <c r="A3" t="s">
        <v>258</v>
      </c>
      <c r="B3" t="s">
        <v>6</v>
      </c>
      <c r="C3" t="s">
        <v>259</v>
      </c>
      <c r="D3" t="s">
        <v>260</v>
      </c>
    </row>
    <row r="8" spans="1:4">
      <c r="A8">
        <v>46499.3</v>
      </c>
      <c r="B8">
        <v>12497.12</v>
      </c>
      <c r="C8">
        <v>3400.18</v>
      </c>
    </row>
    <row r="9" spans="1:4">
      <c r="C9">
        <v>3502.18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2307-743B-4577-99D1-F2864EA5711F}">
  <dimension ref="A1:M167"/>
  <sheetViews>
    <sheetView topLeftCell="A65" workbookViewId="0">
      <selection activeCell="M17" sqref="M17"/>
    </sheetView>
  </sheetViews>
  <sheetFormatPr defaultRowHeight="15"/>
  <cols>
    <col min="1" max="1" width="5.140625" customWidth="1"/>
    <col min="2" max="2" width="5.7109375" customWidth="1"/>
    <col min="3" max="3" width="36.5703125" bestFit="1" customWidth="1"/>
    <col min="4" max="4" width="4.28515625" customWidth="1"/>
    <col min="5" max="5" width="1.28515625" customWidth="1"/>
    <col min="6" max="7" width="10.140625" bestFit="1" customWidth="1"/>
    <col min="8" max="8" width="15.7109375" bestFit="1" customWidth="1"/>
  </cols>
  <sheetData>
    <row r="1" spans="1:13">
      <c r="A1" s="210" t="s">
        <v>261</v>
      </c>
      <c r="B1" s="210"/>
      <c r="C1" s="210"/>
      <c r="D1" s="190"/>
      <c r="E1" s="190"/>
      <c r="F1" s="190"/>
      <c r="G1" s="190"/>
      <c r="H1" s="190"/>
    </row>
    <row r="2" spans="1:13">
      <c r="A2" s="210" t="s">
        <v>262</v>
      </c>
      <c r="B2" s="210"/>
      <c r="C2" s="210"/>
      <c r="D2" s="129" t="s">
        <v>13</v>
      </c>
      <c r="E2" s="129" t="s">
        <v>13</v>
      </c>
      <c r="F2" s="129" t="s">
        <v>13</v>
      </c>
      <c r="G2" s="129" t="s">
        <v>13</v>
      </c>
      <c r="H2" s="129" t="s">
        <v>13</v>
      </c>
    </row>
    <row r="3" spans="1:13">
      <c r="A3" s="130" t="s">
        <v>13</v>
      </c>
      <c r="B3" s="130" t="s">
        <v>13</v>
      </c>
      <c r="C3" s="133" t="s">
        <v>13</v>
      </c>
      <c r="D3" s="130" t="s">
        <v>13</v>
      </c>
      <c r="E3" s="130" t="s">
        <v>13</v>
      </c>
      <c r="F3" s="130" t="s">
        <v>13</v>
      </c>
      <c r="G3" s="130" t="s">
        <v>13</v>
      </c>
      <c r="H3" s="130" t="s">
        <v>13</v>
      </c>
    </row>
    <row r="4" spans="1:13">
      <c r="A4" s="130" t="s">
        <v>13</v>
      </c>
      <c r="B4" s="130" t="s">
        <v>13</v>
      </c>
      <c r="C4" s="133" t="s">
        <v>13</v>
      </c>
      <c r="D4" s="130" t="s">
        <v>13</v>
      </c>
      <c r="E4" s="130" t="s">
        <v>13</v>
      </c>
      <c r="F4" s="130" t="s">
        <v>13</v>
      </c>
      <c r="G4" s="130" t="s">
        <v>13</v>
      </c>
      <c r="H4" s="130" t="s">
        <v>13</v>
      </c>
    </row>
    <row r="5" spans="1:13">
      <c r="A5" s="185" t="s">
        <v>263</v>
      </c>
      <c r="B5" s="190" t="s">
        <v>264</v>
      </c>
      <c r="C5" s="193" t="s">
        <v>265</v>
      </c>
      <c r="D5" s="190" t="s">
        <v>266</v>
      </c>
      <c r="E5" s="128"/>
      <c r="F5" s="190" t="s">
        <v>267</v>
      </c>
      <c r="G5" s="190" t="s">
        <v>268</v>
      </c>
      <c r="H5" s="190"/>
    </row>
    <row r="6" spans="1:13">
      <c r="A6" s="134" t="s">
        <v>13</v>
      </c>
      <c r="B6" s="134">
        <v>1</v>
      </c>
      <c r="C6" s="140" t="s">
        <v>269</v>
      </c>
      <c r="D6" s="134" t="s">
        <v>13</v>
      </c>
      <c r="E6" s="134" t="s">
        <v>13</v>
      </c>
      <c r="F6" s="131" t="s">
        <v>13</v>
      </c>
      <c r="G6" s="135" t="s">
        <v>13</v>
      </c>
      <c r="H6" s="134" t="s">
        <v>13</v>
      </c>
    </row>
    <row r="7" spans="1:13">
      <c r="A7" s="134" t="s">
        <v>270</v>
      </c>
      <c r="B7" s="134">
        <v>1</v>
      </c>
      <c r="C7" s="141" t="s">
        <v>271</v>
      </c>
      <c r="D7" s="134">
        <v>1</v>
      </c>
      <c r="E7" s="132" t="s">
        <v>13</v>
      </c>
      <c r="F7" s="136" t="s">
        <v>272</v>
      </c>
      <c r="G7" s="134" t="s">
        <v>13</v>
      </c>
      <c r="H7" s="136" t="s">
        <v>273</v>
      </c>
    </row>
    <row r="8" spans="1:13">
      <c r="A8" s="134" t="s">
        <v>270</v>
      </c>
      <c r="B8" s="134">
        <v>3</v>
      </c>
      <c r="C8" s="141" t="s">
        <v>271</v>
      </c>
      <c r="D8" s="134">
        <v>2</v>
      </c>
      <c r="E8" s="134" t="s">
        <v>13</v>
      </c>
      <c r="F8" s="134" t="s">
        <v>274</v>
      </c>
      <c r="G8" s="132" t="s">
        <v>13</v>
      </c>
      <c r="H8" s="135" t="s">
        <v>275</v>
      </c>
    </row>
    <row r="9" spans="1:13">
      <c r="A9" s="134" t="s">
        <v>13</v>
      </c>
      <c r="B9" s="134">
        <v>7</v>
      </c>
      <c r="C9" s="141" t="s">
        <v>271</v>
      </c>
      <c r="D9" s="134">
        <v>4</v>
      </c>
      <c r="E9" s="134" t="s">
        <v>13</v>
      </c>
      <c r="F9" s="134" t="s">
        <v>276</v>
      </c>
      <c r="G9" s="132" t="s">
        <v>13</v>
      </c>
      <c r="H9" s="135" t="s">
        <v>277</v>
      </c>
    </row>
    <row r="10" spans="1:13">
      <c r="A10" s="134" t="s">
        <v>13</v>
      </c>
      <c r="B10" s="134">
        <v>9</v>
      </c>
      <c r="C10" s="141" t="s">
        <v>278</v>
      </c>
      <c r="D10" s="134">
        <v>5</v>
      </c>
      <c r="E10" s="134" t="s">
        <v>13</v>
      </c>
      <c r="F10" s="134" t="s">
        <v>13</v>
      </c>
      <c r="G10" s="134">
        <v>10000</v>
      </c>
      <c r="H10" s="135" t="s">
        <v>279</v>
      </c>
    </row>
    <row r="11" spans="1:13">
      <c r="A11" s="134" t="s">
        <v>13</v>
      </c>
      <c r="B11" s="134">
        <v>17</v>
      </c>
      <c r="C11" s="141" t="s">
        <v>271</v>
      </c>
      <c r="D11" s="134">
        <v>9</v>
      </c>
      <c r="E11" s="134" t="s">
        <v>13</v>
      </c>
      <c r="F11" s="134">
        <v>11368</v>
      </c>
      <c r="G11" s="132" t="s">
        <v>13</v>
      </c>
      <c r="H11" s="134" t="s">
        <v>280</v>
      </c>
    </row>
    <row r="12" spans="1:13">
      <c r="A12" s="134" t="s">
        <v>13</v>
      </c>
      <c r="B12" s="134">
        <v>19</v>
      </c>
      <c r="C12" s="141" t="s">
        <v>281</v>
      </c>
      <c r="D12" s="134">
        <v>10</v>
      </c>
      <c r="E12" s="134" t="s">
        <v>13</v>
      </c>
      <c r="F12" s="134" t="s">
        <v>13</v>
      </c>
      <c r="G12" s="134">
        <v>200</v>
      </c>
      <c r="H12" s="134" t="s">
        <v>282</v>
      </c>
      <c r="M12">
        <f>L11-L12</f>
        <v>0</v>
      </c>
    </row>
    <row r="13" spans="1:13">
      <c r="A13" s="134" t="s">
        <v>13</v>
      </c>
      <c r="B13" s="134">
        <v>23</v>
      </c>
      <c r="C13" s="141" t="s">
        <v>283</v>
      </c>
      <c r="D13" s="134">
        <v>14</v>
      </c>
      <c r="E13" s="134" t="s">
        <v>13</v>
      </c>
      <c r="F13" s="132" t="s">
        <v>13</v>
      </c>
      <c r="G13" s="135" t="s">
        <v>284</v>
      </c>
      <c r="H13" s="134" t="s">
        <v>285</v>
      </c>
    </row>
    <row r="14" spans="1:13">
      <c r="A14" s="134" t="s">
        <v>13</v>
      </c>
      <c r="B14" s="134">
        <v>24</v>
      </c>
      <c r="C14" s="141" t="s">
        <v>271</v>
      </c>
      <c r="D14" s="134">
        <v>16</v>
      </c>
      <c r="E14" s="134" t="s">
        <v>13</v>
      </c>
      <c r="F14" s="134" t="s">
        <v>286</v>
      </c>
      <c r="G14" s="134" t="s">
        <v>13</v>
      </c>
      <c r="H14" s="134" t="s">
        <v>287</v>
      </c>
    </row>
    <row r="15" spans="1:13">
      <c r="A15" s="134" t="s">
        <v>13</v>
      </c>
      <c r="B15" s="134">
        <v>27</v>
      </c>
      <c r="C15" s="141" t="s">
        <v>271</v>
      </c>
      <c r="D15" s="134">
        <v>19</v>
      </c>
      <c r="E15" s="134" t="s">
        <v>13</v>
      </c>
      <c r="F15" s="134" t="s">
        <v>288</v>
      </c>
      <c r="G15" s="134" t="s">
        <v>13</v>
      </c>
      <c r="H15" s="134" t="s">
        <v>289</v>
      </c>
    </row>
    <row r="16" spans="1:13">
      <c r="A16" s="134" t="s">
        <v>13</v>
      </c>
      <c r="B16" s="134">
        <v>29</v>
      </c>
      <c r="C16" s="141" t="s">
        <v>278</v>
      </c>
      <c r="D16" s="134">
        <v>20</v>
      </c>
      <c r="E16" s="134" t="s">
        <v>13</v>
      </c>
      <c r="F16" s="134" t="s">
        <v>13</v>
      </c>
      <c r="G16" s="137" t="s">
        <v>290</v>
      </c>
      <c r="H16" s="134" t="s">
        <v>291</v>
      </c>
    </row>
    <row r="17" spans="1:8">
      <c r="A17" s="134" t="s">
        <v>13</v>
      </c>
      <c r="B17" s="132" t="s">
        <v>13</v>
      </c>
      <c r="C17" s="142" t="s">
        <v>13</v>
      </c>
      <c r="D17" s="132" t="s">
        <v>13</v>
      </c>
      <c r="E17" s="132" t="s">
        <v>13</v>
      </c>
      <c r="F17" s="132" t="s">
        <v>13</v>
      </c>
      <c r="G17" s="135" t="s">
        <v>13</v>
      </c>
      <c r="H17" s="134" t="s">
        <v>13</v>
      </c>
    </row>
    <row r="18" spans="1:8">
      <c r="A18" s="134" t="s">
        <v>13</v>
      </c>
      <c r="B18" s="134" t="s">
        <v>13</v>
      </c>
      <c r="C18" s="141" t="s">
        <v>13</v>
      </c>
      <c r="D18" s="134" t="s">
        <v>13</v>
      </c>
      <c r="E18" s="134" t="s">
        <v>13</v>
      </c>
      <c r="F18" s="134" t="s">
        <v>13</v>
      </c>
      <c r="G18" s="134" t="s">
        <v>13</v>
      </c>
      <c r="H18" s="134" t="s">
        <v>13</v>
      </c>
    </row>
    <row r="19" spans="1:8">
      <c r="A19" s="134" t="s">
        <v>13</v>
      </c>
      <c r="B19" s="134" t="s">
        <v>13</v>
      </c>
      <c r="C19" s="141" t="s">
        <v>13</v>
      </c>
      <c r="D19" s="134" t="s">
        <v>13</v>
      </c>
      <c r="E19" s="134" t="s">
        <v>13</v>
      </c>
      <c r="F19" s="134" t="s">
        <v>13</v>
      </c>
      <c r="G19" s="134" t="s">
        <v>13</v>
      </c>
      <c r="H19" s="134" t="s">
        <v>13</v>
      </c>
    </row>
    <row r="20" spans="1:8">
      <c r="A20" s="134" t="s">
        <v>13</v>
      </c>
      <c r="B20" s="134" t="s">
        <v>13</v>
      </c>
      <c r="C20" s="141" t="s">
        <v>13</v>
      </c>
      <c r="D20" s="134" t="s">
        <v>13</v>
      </c>
      <c r="E20" s="134" t="s">
        <v>13</v>
      </c>
      <c r="F20" s="134" t="s">
        <v>13</v>
      </c>
      <c r="G20" s="134" t="s">
        <v>13</v>
      </c>
      <c r="H20" s="134" t="s">
        <v>13</v>
      </c>
    </row>
    <row r="21" spans="1:8">
      <c r="A21" s="134" t="s">
        <v>13</v>
      </c>
      <c r="B21" s="134" t="s">
        <v>13</v>
      </c>
      <c r="C21" s="141" t="s">
        <v>292</v>
      </c>
      <c r="D21" s="134" t="s">
        <v>13</v>
      </c>
      <c r="E21" s="134" t="s">
        <v>13</v>
      </c>
      <c r="F21" s="134" t="s">
        <v>13</v>
      </c>
      <c r="G21" s="134" t="s">
        <v>13</v>
      </c>
      <c r="H21" s="134" t="s">
        <v>13</v>
      </c>
    </row>
    <row r="22" spans="1:8">
      <c r="A22" s="138" t="s">
        <v>293</v>
      </c>
      <c r="B22" s="135">
        <v>2</v>
      </c>
      <c r="C22" s="140" t="s">
        <v>294</v>
      </c>
      <c r="D22" s="134" t="s">
        <v>13</v>
      </c>
      <c r="E22" s="134" t="s">
        <v>13</v>
      </c>
      <c r="F22" s="134" t="s">
        <v>13</v>
      </c>
      <c r="G22" s="134" t="s">
        <v>13</v>
      </c>
      <c r="H22" s="134" t="s">
        <v>13</v>
      </c>
    </row>
    <row r="23" spans="1:8">
      <c r="A23" s="134" t="s">
        <v>270</v>
      </c>
      <c r="B23" s="134">
        <v>1</v>
      </c>
      <c r="C23" s="141" t="s">
        <v>271</v>
      </c>
      <c r="D23" s="134">
        <v>1</v>
      </c>
      <c r="E23" s="134" t="s">
        <v>13</v>
      </c>
      <c r="F23" s="134">
        <v>104520</v>
      </c>
      <c r="G23" s="134" t="s">
        <v>13</v>
      </c>
      <c r="H23" s="134" t="s">
        <v>295</v>
      </c>
    </row>
    <row r="24" spans="1:8">
      <c r="A24" s="134" t="s">
        <v>13</v>
      </c>
      <c r="B24" s="134">
        <v>5</v>
      </c>
      <c r="C24" s="141" t="s">
        <v>296</v>
      </c>
      <c r="D24" s="134">
        <v>3</v>
      </c>
      <c r="E24" s="134" t="s">
        <v>13</v>
      </c>
      <c r="F24" s="134" t="s">
        <v>13</v>
      </c>
      <c r="G24" s="134">
        <v>9000</v>
      </c>
      <c r="H24" s="134" t="s">
        <v>297</v>
      </c>
    </row>
    <row r="25" spans="1:8">
      <c r="A25" s="134" t="s">
        <v>13</v>
      </c>
      <c r="B25" s="134">
        <v>9</v>
      </c>
      <c r="C25" s="141" t="s">
        <v>298</v>
      </c>
      <c r="D25" s="134">
        <v>5</v>
      </c>
      <c r="E25" s="134" t="s">
        <v>13</v>
      </c>
      <c r="F25" s="134">
        <v>10000</v>
      </c>
      <c r="G25" s="134" t="s">
        <v>13</v>
      </c>
      <c r="H25" s="134" t="s">
        <v>299</v>
      </c>
    </row>
    <row r="26" spans="1:8">
      <c r="A26" s="134" t="s">
        <v>13</v>
      </c>
      <c r="B26" s="134">
        <v>23</v>
      </c>
      <c r="C26" s="141" t="s">
        <v>300</v>
      </c>
      <c r="D26" s="134">
        <v>13</v>
      </c>
      <c r="E26" s="134" t="s">
        <v>13</v>
      </c>
      <c r="F26" s="134">
        <v>1569</v>
      </c>
      <c r="G26" s="134" t="s">
        <v>13</v>
      </c>
      <c r="H26" s="134" t="s">
        <v>301</v>
      </c>
    </row>
    <row r="27" spans="1:8">
      <c r="A27" s="134" t="s">
        <v>13</v>
      </c>
      <c r="B27" s="134">
        <v>25</v>
      </c>
      <c r="C27" s="141" t="s">
        <v>302</v>
      </c>
      <c r="D27" s="134">
        <v>17</v>
      </c>
      <c r="E27" s="134" t="s">
        <v>13</v>
      </c>
      <c r="F27" s="134" t="s">
        <v>13</v>
      </c>
      <c r="G27" s="134">
        <v>1000</v>
      </c>
      <c r="H27" s="134" t="s">
        <v>303</v>
      </c>
    </row>
    <row r="28" spans="1:8">
      <c r="A28" s="134" t="s">
        <v>13</v>
      </c>
      <c r="B28" s="134">
        <v>26</v>
      </c>
      <c r="C28" s="141" t="s">
        <v>304</v>
      </c>
      <c r="D28" s="134">
        <v>18</v>
      </c>
      <c r="E28" s="134" t="s">
        <v>13</v>
      </c>
      <c r="F28" s="134">
        <v>4000</v>
      </c>
      <c r="G28" s="134" t="s">
        <v>13</v>
      </c>
      <c r="H28" s="134" t="s">
        <v>305</v>
      </c>
    </row>
    <row r="29" spans="1:8">
      <c r="A29" s="134" t="s">
        <v>13</v>
      </c>
      <c r="B29" s="134">
        <v>29</v>
      </c>
      <c r="C29" s="141" t="s">
        <v>306</v>
      </c>
      <c r="D29" s="134">
        <v>20</v>
      </c>
      <c r="E29" s="134" t="s">
        <v>13</v>
      </c>
      <c r="F29" s="134" t="s">
        <v>290</v>
      </c>
      <c r="G29" s="134" t="s">
        <v>13</v>
      </c>
      <c r="H29" s="134" t="s">
        <v>307</v>
      </c>
    </row>
    <row r="30" spans="1:8">
      <c r="A30" s="134" t="s">
        <v>13</v>
      </c>
      <c r="B30" s="134">
        <v>31</v>
      </c>
      <c r="C30" s="141" t="s">
        <v>283</v>
      </c>
      <c r="D30" s="134">
        <v>21</v>
      </c>
      <c r="E30" s="134" t="s">
        <v>13</v>
      </c>
      <c r="F30" s="134" t="s">
        <v>13</v>
      </c>
      <c r="G30" s="134" t="s">
        <v>308</v>
      </c>
      <c r="H30" s="134" t="s">
        <v>309</v>
      </c>
    </row>
    <row r="31" spans="1:8">
      <c r="A31" s="134" t="s">
        <v>13</v>
      </c>
      <c r="B31" s="134">
        <v>31</v>
      </c>
      <c r="C31" s="141" t="s">
        <v>283</v>
      </c>
      <c r="D31" s="134">
        <v>22</v>
      </c>
      <c r="E31" s="134" t="s">
        <v>13</v>
      </c>
      <c r="F31" s="134" t="s">
        <v>13</v>
      </c>
      <c r="G31" s="134">
        <v>6000</v>
      </c>
      <c r="H31" s="134" t="s">
        <v>310</v>
      </c>
    </row>
    <row r="32" spans="1:8">
      <c r="A32" s="134" t="s">
        <v>13</v>
      </c>
      <c r="B32" s="134" t="s">
        <v>13</v>
      </c>
      <c r="C32" s="141" t="s">
        <v>13</v>
      </c>
      <c r="D32" s="134" t="s">
        <v>13</v>
      </c>
      <c r="E32" s="134" t="s">
        <v>13</v>
      </c>
      <c r="F32" s="134" t="s">
        <v>13</v>
      </c>
      <c r="G32" s="134" t="s">
        <v>13</v>
      </c>
      <c r="H32" s="134" t="s">
        <v>13</v>
      </c>
    </row>
    <row r="33" spans="1:8">
      <c r="A33" s="134" t="s">
        <v>13</v>
      </c>
      <c r="B33" s="134" t="s">
        <v>13</v>
      </c>
      <c r="C33" s="141" t="s">
        <v>13</v>
      </c>
      <c r="D33" s="134" t="s">
        <v>13</v>
      </c>
      <c r="E33" s="134" t="s">
        <v>13</v>
      </c>
      <c r="F33" s="134" t="s">
        <v>13</v>
      </c>
      <c r="G33" s="134" t="s">
        <v>13</v>
      </c>
      <c r="H33" s="134" t="s">
        <v>13</v>
      </c>
    </row>
    <row r="34" spans="1:8">
      <c r="A34" s="134" t="s">
        <v>13</v>
      </c>
      <c r="B34" s="134" t="s">
        <v>13</v>
      </c>
      <c r="C34" s="141" t="s">
        <v>13</v>
      </c>
      <c r="D34" s="134" t="s">
        <v>13</v>
      </c>
      <c r="E34" s="134" t="s">
        <v>13</v>
      </c>
      <c r="F34" s="134" t="s">
        <v>13</v>
      </c>
      <c r="G34" s="134" t="s">
        <v>13</v>
      </c>
      <c r="H34" s="134" t="s">
        <v>13</v>
      </c>
    </row>
    <row r="35" spans="1:8">
      <c r="A35" s="138" t="s">
        <v>311</v>
      </c>
      <c r="B35" s="135">
        <v>3</v>
      </c>
      <c r="C35" s="140" t="s">
        <v>20</v>
      </c>
      <c r="D35" s="134" t="s">
        <v>13</v>
      </c>
      <c r="E35" s="134" t="s">
        <v>13</v>
      </c>
      <c r="F35" s="134" t="s">
        <v>13</v>
      </c>
      <c r="G35" s="134" t="s">
        <v>13</v>
      </c>
      <c r="H35" s="134" t="s">
        <v>13</v>
      </c>
    </row>
    <row r="36" spans="1:8">
      <c r="A36" s="134" t="s">
        <v>270</v>
      </c>
      <c r="B36" s="132">
        <v>1</v>
      </c>
      <c r="C36" s="143" t="s">
        <v>271</v>
      </c>
      <c r="D36" s="134">
        <v>1</v>
      </c>
      <c r="E36" s="134" t="s">
        <v>13</v>
      </c>
      <c r="F36" s="134" t="s">
        <v>312</v>
      </c>
      <c r="G36" s="134" t="s">
        <v>13</v>
      </c>
      <c r="H36" s="134" t="s">
        <v>313</v>
      </c>
    </row>
    <row r="37" spans="1:8">
      <c r="A37" s="134" t="s">
        <v>13</v>
      </c>
      <c r="B37" s="134">
        <v>3</v>
      </c>
      <c r="C37" s="141" t="s">
        <v>314</v>
      </c>
      <c r="D37" s="134">
        <v>2</v>
      </c>
      <c r="E37" s="134" t="s">
        <v>13</v>
      </c>
      <c r="F37" s="134" t="s">
        <v>13</v>
      </c>
      <c r="G37" s="134" t="s">
        <v>315</v>
      </c>
      <c r="H37" s="134" t="s">
        <v>316</v>
      </c>
    </row>
    <row r="38" spans="1:8">
      <c r="A38" s="134" t="s">
        <v>13</v>
      </c>
      <c r="B38" s="134">
        <v>7</v>
      </c>
      <c r="C38" s="141" t="s">
        <v>283</v>
      </c>
      <c r="D38" s="134">
        <v>4</v>
      </c>
      <c r="E38" s="134" t="s">
        <v>13</v>
      </c>
      <c r="F38" s="134" t="s">
        <v>13</v>
      </c>
      <c r="G38" s="134" t="s">
        <v>276</v>
      </c>
      <c r="H38" s="134" t="s">
        <v>317</v>
      </c>
    </row>
    <row r="39" spans="1:8">
      <c r="A39" s="134" t="s">
        <v>13</v>
      </c>
      <c r="B39" s="134">
        <v>13</v>
      </c>
      <c r="C39" s="141" t="s">
        <v>318</v>
      </c>
      <c r="D39" s="134">
        <v>7</v>
      </c>
      <c r="E39" s="134" t="s">
        <v>13</v>
      </c>
      <c r="F39" s="134" t="s">
        <v>319</v>
      </c>
      <c r="G39" s="134" t="s">
        <v>13</v>
      </c>
      <c r="H39" s="134" t="s">
        <v>320</v>
      </c>
    </row>
    <row r="40" spans="1:8">
      <c r="A40" s="134" t="s">
        <v>13</v>
      </c>
      <c r="B40" s="134">
        <v>15</v>
      </c>
      <c r="C40" s="141" t="s">
        <v>304</v>
      </c>
      <c r="D40" s="134">
        <v>8</v>
      </c>
      <c r="E40" s="134" t="s">
        <v>13</v>
      </c>
      <c r="F40" s="134" t="s">
        <v>321</v>
      </c>
      <c r="G40" s="137" t="s">
        <v>13</v>
      </c>
      <c r="H40" s="134" t="s">
        <v>322</v>
      </c>
    </row>
    <row r="41" spans="1:8">
      <c r="A41" s="134" t="s">
        <v>13</v>
      </c>
      <c r="B41" s="134">
        <v>17</v>
      </c>
      <c r="C41" s="141" t="s">
        <v>314</v>
      </c>
      <c r="D41" s="134">
        <v>9</v>
      </c>
      <c r="E41" s="134" t="s">
        <v>13</v>
      </c>
      <c r="F41" s="134" t="s">
        <v>13</v>
      </c>
      <c r="G41" s="134">
        <v>1218</v>
      </c>
      <c r="H41" s="134" t="s">
        <v>323</v>
      </c>
    </row>
    <row r="42" spans="1:8">
      <c r="A42" s="134" t="s">
        <v>13</v>
      </c>
      <c r="B42" s="134">
        <v>21</v>
      </c>
      <c r="C42" s="141" t="s">
        <v>296</v>
      </c>
      <c r="D42" s="134">
        <v>11</v>
      </c>
      <c r="E42" s="134" t="s">
        <v>13</v>
      </c>
      <c r="F42" s="134" t="s">
        <v>13</v>
      </c>
      <c r="G42" s="134" t="s">
        <v>324</v>
      </c>
      <c r="H42" s="134" t="s">
        <v>325</v>
      </c>
    </row>
    <row r="43" spans="1:8" ht="30.75">
      <c r="A43" s="134" t="s">
        <v>13</v>
      </c>
      <c r="B43" s="134">
        <v>22</v>
      </c>
      <c r="C43" s="141" t="s">
        <v>326</v>
      </c>
      <c r="D43" s="134">
        <v>12</v>
      </c>
      <c r="E43" s="134" t="s">
        <v>13</v>
      </c>
      <c r="F43" s="134" t="s">
        <v>13</v>
      </c>
      <c r="G43" s="134">
        <v>180</v>
      </c>
      <c r="H43" s="134" t="s">
        <v>327</v>
      </c>
    </row>
    <row r="44" spans="1:8">
      <c r="A44" s="134" t="s">
        <v>13</v>
      </c>
      <c r="B44" s="134">
        <v>23</v>
      </c>
      <c r="C44" s="141" t="s">
        <v>328</v>
      </c>
      <c r="D44" s="134">
        <v>14</v>
      </c>
      <c r="E44" s="134" t="s">
        <v>13</v>
      </c>
      <c r="F44" s="134" t="s">
        <v>329</v>
      </c>
      <c r="G44" s="132" t="s">
        <v>13</v>
      </c>
      <c r="H44" s="134" t="s">
        <v>330</v>
      </c>
    </row>
    <row r="45" spans="1:8" ht="30.75">
      <c r="A45" s="134" t="s">
        <v>13</v>
      </c>
      <c r="B45" s="134">
        <v>24</v>
      </c>
      <c r="C45" s="141" t="s">
        <v>331</v>
      </c>
      <c r="D45" s="134">
        <v>15</v>
      </c>
      <c r="E45" s="134" t="s">
        <v>13</v>
      </c>
      <c r="F45" s="134">
        <v>9</v>
      </c>
      <c r="G45" s="134" t="s">
        <v>13</v>
      </c>
      <c r="H45" s="134" t="s">
        <v>332</v>
      </c>
    </row>
    <row r="46" spans="1:8">
      <c r="A46" s="134" t="s">
        <v>13</v>
      </c>
      <c r="B46" s="134">
        <v>24</v>
      </c>
      <c r="C46" s="141" t="s">
        <v>333</v>
      </c>
      <c r="D46" s="134">
        <v>16</v>
      </c>
      <c r="E46" s="134" t="s">
        <v>13</v>
      </c>
      <c r="F46" s="134" t="s">
        <v>13</v>
      </c>
      <c r="G46" s="137" t="s">
        <v>334</v>
      </c>
      <c r="H46" s="134" t="s">
        <v>335</v>
      </c>
    </row>
    <row r="47" spans="1:8">
      <c r="A47" s="134" t="s">
        <v>13</v>
      </c>
      <c r="B47" s="134">
        <v>27</v>
      </c>
      <c r="C47" s="141" t="s">
        <v>283</v>
      </c>
      <c r="D47" s="134">
        <v>19</v>
      </c>
      <c r="E47" s="134" t="s">
        <v>13</v>
      </c>
      <c r="F47" s="134" t="s">
        <v>13</v>
      </c>
      <c r="G47" s="134">
        <v>984</v>
      </c>
      <c r="H47" s="134" t="s">
        <v>336</v>
      </c>
    </row>
    <row r="48" spans="1:8">
      <c r="A48" s="134" t="s">
        <v>13</v>
      </c>
      <c r="B48" s="134" t="s">
        <v>13</v>
      </c>
      <c r="C48" s="141" t="s">
        <v>13</v>
      </c>
      <c r="D48" s="134" t="s">
        <v>13</v>
      </c>
      <c r="E48" s="134" t="s">
        <v>13</v>
      </c>
      <c r="F48" s="134" t="s">
        <v>13</v>
      </c>
      <c r="G48" s="134" t="s">
        <v>13</v>
      </c>
      <c r="H48" s="134" t="s">
        <v>13</v>
      </c>
    </row>
    <row r="49" spans="1:8">
      <c r="A49" s="138" t="s">
        <v>337</v>
      </c>
      <c r="B49" s="135">
        <v>4</v>
      </c>
      <c r="C49" s="140" t="s">
        <v>338</v>
      </c>
      <c r="D49" s="134" t="s">
        <v>13</v>
      </c>
      <c r="E49" s="134" t="s">
        <v>13</v>
      </c>
      <c r="F49" s="134" t="s">
        <v>13</v>
      </c>
      <c r="G49" s="134" t="s">
        <v>13</v>
      </c>
      <c r="H49" s="134" t="s">
        <v>13</v>
      </c>
    </row>
    <row r="50" spans="1:8">
      <c r="A50" s="134" t="s">
        <v>13</v>
      </c>
      <c r="B50" s="134">
        <v>1</v>
      </c>
      <c r="C50" s="141" t="s">
        <v>271</v>
      </c>
      <c r="D50" s="134">
        <v>1</v>
      </c>
      <c r="E50" s="134" t="s">
        <v>13</v>
      </c>
      <c r="F50" s="134" t="s">
        <v>339</v>
      </c>
      <c r="G50" s="134" t="s">
        <v>13</v>
      </c>
      <c r="H50" s="134" t="s">
        <v>340</v>
      </c>
    </row>
    <row r="51" spans="1:8">
      <c r="A51" s="134" t="s">
        <v>13</v>
      </c>
      <c r="B51" s="134" t="s">
        <v>13</v>
      </c>
      <c r="C51" s="141" t="s">
        <v>13</v>
      </c>
      <c r="D51" s="134" t="s">
        <v>13</v>
      </c>
      <c r="E51" s="134" t="s">
        <v>13</v>
      </c>
      <c r="F51" s="134" t="s">
        <v>13</v>
      </c>
      <c r="G51" s="134" t="s">
        <v>13</v>
      </c>
      <c r="H51" s="134" t="s">
        <v>13</v>
      </c>
    </row>
    <row r="52" spans="1:8">
      <c r="A52" s="138" t="s">
        <v>341</v>
      </c>
      <c r="B52" s="135">
        <v>5</v>
      </c>
      <c r="C52" s="141" t="s">
        <v>342</v>
      </c>
      <c r="D52" s="134" t="s">
        <v>13</v>
      </c>
      <c r="E52" s="134" t="s">
        <v>13</v>
      </c>
      <c r="F52" s="134" t="s">
        <v>13</v>
      </c>
      <c r="G52" s="134" t="s">
        <v>13</v>
      </c>
      <c r="H52" s="134" t="s">
        <v>13</v>
      </c>
    </row>
    <row r="53" spans="1:8">
      <c r="A53" s="134" t="s">
        <v>13</v>
      </c>
      <c r="B53" s="134">
        <v>1</v>
      </c>
      <c r="C53" s="141" t="s">
        <v>271</v>
      </c>
      <c r="D53" s="134">
        <v>1</v>
      </c>
      <c r="E53" s="134" t="s">
        <v>13</v>
      </c>
      <c r="F53" s="134">
        <v>1036</v>
      </c>
      <c r="G53" s="134" t="s">
        <v>13</v>
      </c>
      <c r="H53" s="134" t="s">
        <v>343</v>
      </c>
    </row>
    <row r="54" spans="1:8">
      <c r="A54" s="134" t="s">
        <v>13</v>
      </c>
      <c r="B54" s="134">
        <v>31</v>
      </c>
      <c r="C54" s="141" t="s">
        <v>344</v>
      </c>
      <c r="D54" s="134">
        <v>23</v>
      </c>
      <c r="E54" s="134" t="s">
        <v>13</v>
      </c>
      <c r="F54" s="134" t="s">
        <v>13</v>
      </c>
      <c r="G54" s="134" t="s">
        <v>345</v>
      </c>
      <c r="H54" s="134" t="s">
        <v>346</v>
      </c>
    </row>
    <row r="55" spans="1:8">
      <c r="A55" s="132" t="s">
        <v>13</v>
      </c>
      <c r="B55" s="135" t="s">
        <v>13</v>
      </c>
      <c r="C55" s="141" t="s">
        <v>13</v>
      </c>
      <c r="D55" s="134" t="s">
        <v>13</v>
      </c>
      <c r="E55" s="134" t="s">
        <v>13</v>
      </c>
      <c r="F55" s="134" t="s">
        <v>13</v>
      </c>
      <c r="G55" s="134" t="s">
        <v>13</v>
      </c>
      <c r="H55" s="134" t="s">
        <v>13</v>
      </c>
    </row>
    <row r="56" spans="1:8">
      <c r="A56" s="138" t="s">
        <v>347</v>
      </c>
      <c r="B56" s="135">
        <v>6</v>
      </c>
      <c r="C56" s="140" t="s">
        <v>348</v>
      </c>
      <c r="D56" s="134" t="s">
        <v>13</v>
      </c>
      <c r="E56" s="134" t="s">
        <v>13</v>
      </c>
      <c r="F56" s="134" t="s">
        <v>13</v>
      </c>
      <c r="G56" s="134" t="s">
        <v>13</v>
      </c>
      <c r="H56" s="134" t="s">
        <v>13</v>
      </c>
    </row>
    <row r="57" spans="1:8">
      <c r="A57" s="134" t="s">
        <v>13</v>
      </c>
      <c r="B57" s="134">
        <v>1</v>
      </c>
      <c r="C57" s="141" t="s">
        <v>271</v>
      </c>
      <c r="D57" s="134">
        <v>1</v>
      </c>
      <c r="E57" s="134" t="s">
        <v>13</v>
      </c>
      <c r="F57" s="134">
        <v>14433</v>
      </c>
      <c r="G57" s="134" t="s">
        <v>13</v>
      </c>
      <c r="H57" s="134" t="s">
        <v>349</v>
      </c>
    </row>
    <row r="58" spans="1:8">
      <c r="A58" s="134" t="s">
        <v>13</v>
      </c>
      <c r="B58" s="134" t="s">
        <v>13</v>
      </c>
      <c r="C58" s="141" t="s">
        <v>13</v>
      </c>
      <c r="D58" s="134" t="s">
        <v>13</v>
      </c>
      <c r="E58" s="134" t="s">
        <v>13</v>
      </c>
      <c r="F58" s="134" t="s">
        <v>13</v>
      </c>
      <c r="G58" s="134" t="s">
        <v>13</v>
      </c>
      <c r="H58" s="134" t="s">
        <v>13</v>
      </c>
    </row>
    <row r="59" spans="1:8">
      <c r="A59" s="138" t="s">
        <v>350</v>
      </c>
      <c r="B59" s="135">
        <v>7</v>
      </c>
      <c r="C59" s="140" t="s">
        <v>351</v>
      </c>
      <c r="D59" s="134" t="s">
        <v>13</v>
      </c>
      <c r="E59" s="134" t="s">
        <v>13</v>
      </c>
      <c r="F59" s="134" t="s">
        <v>13</v>
      </c>
      <c r="G59" s="134" t="s">
        <v>13</v>
      </c>
      <c r="H59" s="134" t="s">
        <v>13</v>
      </c>
    </row>
    <row r="60" spans="1:8">
      <c r="A60" s="134" t="s">
        <v>13</v>
      </c>
      <c r="B60" s="134">
        <v>1</v>
      </c>
      <c r="C60" s="141" t="s">
        <v>271</v>
      </c>
      <c r="D60" s="134">
        <v>1</v>
      </c>
      <c r="E60" s="134" t="s">
        <v>13</v>
      </c>
      <c r="F60" s="134">
        <v>4705</v>
      </c>
      <c r="G60" s="134" t="s">
        <v>13</v>
      </c>
      <c r="H60" s="134" t="s">
        <v>352</v>
      </c>
    </row>
    <row r="61" spans="1:8">
      <c r="A61" s="132" t="s">
        <v>13</v>
      </c>
      <c r="B61" s="135" t="s">
        <v>13</v>
      </c>
      <c r="C61" s="141" t="s">
        <v>13</v>
      </c>
      <c r="D61" s="134" t="s">
        <v>13</v>
      </c>
      <c r="E61" s="134" t="s">
        <v>13</v>
      </c>
      <c r="F61" s="134" t="s">
        <v>13</v>
      </c>
      <c r="G61" s="134" t="s">
        <v>13</v>
      </c>
      <c r="H61" s="134" t="s">
        <v>13</v>
      </c>
    </row>
    <row r="62" spans="1:8">
      <c r="A62" s="138" t="s">
        <v>353</v>
      </c>
      <c r="B62" s="135">
        <v>8</v>
      </c>
      <c r="C62" s="140" t="s">
        <v>354</v>
      </c>
      <c r="D62" s="134" t="s">
        <v>13</v>
      </c>
      <c r="E62" s="134" t="s">
        <v>13</v>
      </c>
      <c r="F62" s="134" t="s">
        <v>13</v>
      </c>
      <c r="G62" s="134" t="s">
        <v>13</v>
      </c>
      <c r="H62" s="134" t="s">
        <v>13</v>
      </c>
    </row>
    <row r="63" spans="1:8">
      <c r="A63" s="134" t="s">
        <v>13</v>
      </c>
      <c r="B63" s="134">
        <v>1</v>
      </c>
      <c r="C63" s="141" t="s">
        <v>271</v>
      </c>
      <c r="D63" s="134">
        <v>1</v>
      </c>
      <c r="E63" s="134" t="s">
        <v>13</v>
      </c>
      <c r="F63" s="134">
        <v>2750</v>
      </c>
      <c r="G63" s="134" t="s">
        <v>13</v>
      </c>
      <c r="H63" s="134" t="s">
        <v>355</v>
      </c>
    </row>
    <row r="64" spans="1:8">
      <c r="A64" s="132" t="s">
        <v>13</v>
      </c>
      <c r="B64" s="135" t="s">
        <v>13</v>
      </c>
      <c r="C64" s="141" t="s">
        <v>13</v>
      </c>
      <c r="D64" s="134" t="s">
        <v>13</v>
      </c>
      <c r="E64" s="134" t="s">
        <v>13</v>
      </c>
      <c r="F64" s="134" t="s">
        <v>13</v>
      </c>
      <c r="G64" s="134" t="s">
        <v>13</v>
      </c>
      <c r="H64" s="134" t="s">
        <v>13</v>
      </c>
    </row>
    <row r="65" spans="1:8">
      <c r="A65" s="138" t="s">
        <v>356</v>
      </c>
      <c r="B65" s="135">
        <v>9</v>
      </c>
      <c r="C65" s="140" t="s">
        <v>357</v>
      </c>
      <c r="D65" s="134" t="s">
        <v>13</v>
      </c>
      <c r="E65" s="134" t="s">
        <v>13</v>
      </c>
      <c r="F65" s="132" t="s">
        <v>13</v>
      </c>
      <c r="G65" s="135" t="s">
        <v>13</v>
      </c>
      <c r="H65" s="134" t="s">
        <v>13</v>
      </c>
    </row>
    <row r="66" spans="1:8">
      <c r="A66" s="134" t="s">
        <v>13</v>
      </c>
      <c r="B66" s="134">
        <v>1</v>
      </c>
      <c r="C66" s="141" t="s">
        <v>283</v>
      </c>
      <c r="D66" s="134">
        <v>1</v>
      </c>
      <c r="E66" s="134" t="s">
        <v>13</v>
      </c>
      <c r="F66" s="132" t="s">
        <v>13</v>
      </c>
      <c r="G66" s="135">
        <v>20000</v>
      </c>
      <c r="H66" s="134" t="s">
        <v>358</v>
      </c>
    </row>
    <row r="67" spans="1:8">
      <c r="A67" s="134" t="s">
        <v>13</v>
      </c>
      <c r="B67" s="134">
        <v>5</v>
      </c>
      <c r="C67" s="141" t="s">
        <v>306</v>
      </c>
      <c r="D67" s="134">
        <v>3</v>
      </c>
      <c r="E67" s="134" t="s">
        <v>13</v>
      </c>
      <c r="F67" s="132">
        <v>9000</v>
      </c>
      <c r="G67" s="135" t="s">
        <v>13</v>
      </c>
      <c r="H67" s="134" t="s">
        <v>359</v>
      </c>
    </row>
    <row r="68" spans="1:8">
      <c r="A68" s="134" t="s">
        <v>13</v>
      </c>
      <c r="B68" s="134">
        <v>13</v>
      </c>
      <c r="C68" s="141" t="s">
        <v>283</v>
      </c>
      <c r="D68" s="134">
        <v>7</v>
      </c>
      <c r="E68" s="134" t="s">
        <v>13</v>
      </c>
      <c r="F68" s="132" t="s">
        <v>13</v>
      </c>
      <c r="G68" s="135" t="s">
        <v>360</v>
      </c>
      <c r="H68" s="134" t="s">
        <v>361</v>
      </c>
    </row>
    <row r="69" spans="1:8">
      <c r="A69" s="134" t="s">
        <v>13</v>
      </c>
      <c r="B69" s="134">
        <v>21</v>
      </c>
      <c r="C69" s="141" t="s">
        <v>271</v>
      </c>
      <c r="D69" s="134">
        <v>11</v>
      </c>
      <c r="E69" s="134" t="s">
        <v>13</v>
      </c>
      <c r="F69" s="134" t="s">
        <v>362</v>
      </c>
      <c r="G69" s="132" t="s">
        <v>13</v>
      </c>
      <c r="H69" s="134" t="s">
        <v>363</v>
      </c>
    </row>
    <row r="70" spans="1:8">
      <c r="A70" s="134" t="s">
        <v>13</v>
      </c>
      <c r="B70" s="134" t="s">
        <v>13</v>
      </c>
      <c r="C70" s="141" t="s">
        <v>13</v>
      </c>
      <c r="D70" s="134" t="s">
        <v>13</v>
      </c>
      <c r="E70" s="134" t="s">
        <v>13</v>
      </c>
      <c r="F70" s="132" t="s">
        <v>13</v>
      </c>
      <c r="G70" s="135" t="s">
        <v>13</v>
      </c>
      <c r="H70" s="134" t="s">
        <v>13</v>
      </c>
    </row>
    <row r="71" spans="1:8">
      <c r="A71" s="134" t="s">
        <v>13</v>
      </c>
      <c r="B71" s="134" t="s">
        <v>13</v>
      </c>
      <c r="C71" s="141" t="s">
        <v>13</v>
      </c>
      <c r="D71" s="134" t="s">
        <v>13</v>
      </c>
      <c r="E71" s="134" t="s">
        <v>13</v>
      </c>
      <c r="F71" s="134" t="s">
        <v>13</v>
      </c>
      <c r="G71" s="134" t="s">
        <v>13</v>
      </c>
      <c r="H71" s="134" t="s">
        <v>13</v>
      </c>
    </row>
    <row r="72" spans="1:8" ht="30.75">
      <c r="A72" s="138" t="s">
        <v>364</v>
      </c>
      <c r="B72" s="135">
        <v>10</v>
      </c>
      <c r="C72" s="140" t="s">
        <v>365</v>
      </c>
      <c r="D72" s="134" t="s">
        <v>13</v>
      </c>
      <c r="E72" s="134" t="s">
        <v>13</v>
      </c>
      <c r="F72" s="134" t="s">
        <v>13</v>
      </c>
      <c r="G72" s="134" t="s">
        <v>13</v>
      </c>
      <c r="H72" s="134" t="s">
        <v>13</v>
      </c>
    </row>
    <row r="73" spans="1:8">
      <c r="A73" s="134" t="s">
        <v>13</v>
      </c>
      <c r="B73" s="134">
        <v>1</v>
      </c>
      <c r="C73" s="141" t="s">
        <v>333</v>
      </c>
      <c r="D73" s="134">
        <v>1</v>
      </c>
      <c r="E73" s="134" t="s">
        <v>13</v>
      </c>
      <c r="F73" s="134" t="s">
        <v>13</v>
      </c>
      <c r="G73" s="134">
        <v>3000</v>
      </c>
      <c r="H73" s="134" t="s">
        <v>366</v>
      </c>
    </row>
    <row r="74" spans="1:8">
      <c r="A74" s="134" t="s">
        <v>13</v>
      </c>
      <c r="B74" s="134">
        <v>25</v>
      </c>
      <c r="C74" s="141" t="s">
        <v>306</v>
      </c>
      <c r="D74" s="134">
        <v>17</v>
      </c>
      <c r="E74" s="134" t="s">
        <v>13</v>
      </c>
      <c r="F74" s="134">
        <v>1000</v>
      </c>
      <c r="G74" s="134" t="s">
        <v>13</v>
      </c>
      <c r="H74" s="134" t="s">
        <v>367</v>
      </c>
    </row>
    <row r="75" spans="1:8">
      <c r="A75" s="134" t="s">
        <v>13</v>
      </c>
      <c r="B75" s="134" t="s">
        <v>13</v>
      </c>
      <c r="C75" s="141" t="s">
        <v>13</v>
      </c>
      <c r="D75" s="134" t="s">
        <v>13</v>
      </c>
      <c r="E75" s="134" t="s">
        <v>13</v>
      </c>
      <c r="F75" s="134" t="s">
        <v>13</v>
      </c>
      <c r="G75" s="134" t="s">
        <v>13</v>
      </c>
      <c r="H75" s="134" t="s">
        <v>13</v>
      </c>
    </row>
    <row r="76" spans="1:8">
      <c r="A76" s="138" t="s">
        <v>368</v>
      </c>
      <c r="B76" s="135">
        <v>11</v>
      </c>
      <c r="C76" s="140" t="s">
        <v>369</v>
      </c>
      <c r="D76" s="134" t="s">
        <v>13</v>
      </c>
      <c r="E76" s="134" t="s">
        <v>13</v>
      </c>
      <c r="F76" s="134" t="s">
        <v>13</v>
      </c>
      <c r="G76" s="132" t="s">
        <v>13</v>
      </c>
      <c r="H76" s="134" t="s">
        <v>13</v>
      </c>
    </row>
    <row r="77" spans="1:8">
      <c r="A77" s="134" t="s">
        <v>13</v>
      </c>
      <c r="B77" s="134">
        <v>1</v>
      </c>
      <c r="C77" s="141" t="s">
        <v>283</v>
      </c>
      <c r="D77" s="134">
        <v>1</v>
      </c>
      <c r="E77" s="134" t="s">
        <v>13</v>
      </c>
      <c r="F77" s="134" t="s">
        <v>13</v>
      </c>
      <c r="G77" s="131" t="s">
        <v>370</v>
      </c>
      <c r="H77" s="134" t="s">
        <v>371</v>
      </c>
    </row>
    <row r="78" spans="1:8">
      <c r="A78" s="134" t="s">
        <v>13</v>
      </c>
      <c r="B78" s="134" t="s">
        <v>13</v>
      </c>
      <c r="C78" s="141" t="s">
        <v>13</v>
      </c>
      <c r="D78" s="134" t="s">
        <v>13</v>
      </c>
      <c r="E78" s="134" t="s">
        <v>13</v>
      </c>
      <c r="F78" s="134" t="s">
        <v>13</v>
      </c>
      <c r="G78" s="134" t="s">
        <v>13</v>
      </c>
      <c r="H78" s="134" t="s">
        <v>13</v>
      </c>
    </row>
    <row r="79" spans="1:8" ht="30.75">
      <c r="A79" s="138" t="s">
        <v>372</v>
      </c>
      <c r="B79" s="135">
        <v>12</v>
      </c>
      <c r="C79" s="140" t="s">
        <v>373</v>
      </c>
      <c r="D79" s="134" t="s">
        <v>13</v>
      </c>
      <c r="E79" s="134" t="s">
        <v>13</v>
      </c>
      <c r="F79" s="134" t="s">
        <v>13</v>
      </c>
      <c r="G79" s="132" t="s">
        <v>13</v>
      </c>
      <c r="H79" s="134" t="s">
        <v>13</v>
      </c>
    </row>
    <row r="80" spans="1:8">
      <c r="A80" s="134" t="s">
        <v>13</v>
      </c>
      <c r="B80" s="134">
        <v>1</v>
      </c>
      <c r="C80" s="141" t="s">
        <v>283</v>
      </c>
      <c r="D80" s="134">
        <v>1</v>
      </c>
      <c r="E80" s="134" t="s">
        <v>13</v>
      </c>
      <c r="F80" s="134" t="s">
        <v>13</v>
      </c>
      <c r="G80" s="131" t="s">
        <v>374</v>
      </c>
      <c r="H80" s="134" t="s">
        <v>375</v>
      </c>
    </row>
    <row r="81" spans="1:8">
      <c r="A81" s="132" t="s">
        <v>13</v>
      </c>
      <c r="B81" s="135" t="s">
        <v>13</v>
      </c>
      <c r="C81" s="141" t="s">
        <v>13</v>
      </c>
      <c r="D81" s="134" t="s">
        <v>13</v>
      </c>
      <c r="E81" s="134" t="s">
        <v>13</v>
      </c>
      <c r="F81" s="134" t="s">
        <v>13</v>
      </c>
      <c r="G81" s="132" t="s">
        <v>13</v>
      </c>
      <c r="H81" s="134" t="s">
        <v>13</v>
      </c>
    </row>
    <row r="82" spans="1:8" ht="30.75">
      <c r="A82" s="138" t="s">
        <v>376</v>
      </c>
      <c r="B82" s="135">
        <v>13</v>
      </c>
      <c r="C82" s="140" t="s">
        <v>377</v>
      </c>
      <c r="D82" s="134" t="s">
        <v>13</v>
      </c>
      <c r="E82" s="134" t="s">
        <v>13</v>
      </c>
      <c r="F82" s="134" t="s">
        <v>13</v>
      </c>
      <c r="G82" s="134" t="s">
        <v>13</v>
      </c>
      <c r="H82" s="134" t="s">
        <v>13</v>
      </c>
    </row>
    <row r="83" spans="1:8">
      <c r="A83" s="134" t="s">
        <v>13</v>
      </c>
      <c r="B83" s="134">
        <v>1</v>
      </c>
      <c r="C83" s="141" t="s">
        <v>283</v>
      </c>
      <c r="D83" s="134">
        <v>1</v>
      </c>
      <c r="E83" s="134" t="s">
        <v>13</v>
      </c>
      <c r="F83" s="134" t="s">
        <v>13</v>
      </c>
      <c r="G83" s="134">
        <v>168</v>
      </c>
      <c r="H83" s="134" t="s">
        <v>378</v>
      </c>
    </row>
    <row r="84" spans="1:8">
      <c r="A84" s="132" t="s">
        <v>13</v>
      </c>
      <c r="B84" s="135" t="s">
        <v>13</v>
      </c>
      <c r="C84" s="141" t="s">
        <v>13</v>
      </c>
      <c r="D84" s="134" t="s">
        <v>13</v>
      </c>
      <c r="E84" s="134" t="s">
        <v>13</v>
      </c>
      <c r="F84" s="134" t="s">
        <v>13</v>
      </c>
      <c r="G84" s="134" t="s">
        <v>13</v>
      </c>
      <c r="H84" s="134" t="s">
        <v>13</v>
      </c>
    </row>
    <row r="85" spans="1:8">
      <c r="A85" s="138" t="s">
        <v>379</v>
      </c>
      <c r="B85" s="135">
        <v>14</v>
      </c>
      <c r="C85" s="140" t="s">
        <v>380</v>
      </c>
      <c r="D85" s="134" t="s">
        <v>13</v>
      </c>
      <c r="E85" s="134" t="s">
        <v>13</v>
      </c>
      <c r="F85" s="134" t="s">
        <v>13</v>
      </c>
      <c r="G85" s="134" t="s">
        <v>13</v>
      </c>
      <c r="H85" s="134" t="s">
        <v>13</v>
      </c>
    </row>
    <row r="86" spans="1:8">
      <c r="A86" s="134" t="s">
        <v>13</v>
      </c>
      <c r="B86" s="134">
        <v>1</v>
      </c>
      <c r="C86" s="141" t="s">
        <v>283</v>
      </c>
      <c r="D86" s="134">
        <v>1</v>
      </c>
      <c r="E86" s="134" t="s">
        <v>13</v>
      </c>
      <c r="F86" s="132" t="s">
        <v>13</v>
      </c>
      <c r="G86" s="131" t="s">
        <v>381</v>
      </c>
      <c r="H86" s="134" t="s">
        <v>382</v>
      </c>
    </row>
    <row r="87" spans="1:8">
      <c r="A87" s="134" t="s">
        <v>13</v>
      </c>
      <c r="B87" s="134" t="s">
        <v>13</v>
      </c>
      <c r="C87" s="141" t="s">
        <v>13</v>
      </c>
      <c r="D87" s="134" t="s">
        <v>13</v>
      </c>
      <c r="E87" s="134" t="s">
        <v>13</v>
      </c>
      <c r="F87" s="134" t="s">
        <v>13</v>
      </c>
      <c r="G87" s="134" t="s">
        <v>13</v>
      </c>
      <c r="H87" s="134" t="s">
        <v>13</v>
      </c>
    </row>
    <row r="88" spans="1:8">
      <c r="A88" s="134" t="s">
        <v>13</v>
      </c>
      <c r="B88" s="134" t="s">
        <v>13</v>
      </c>
      <c r="C88" s="141" t="s">
        <v>13</v>
      </c>
      <c r="D88" s="134" t="s">
        <v>13</v>
      </c>
      <c r="E88" s="134" t="s">
        <v>13</v>
      </c>
      <c r="F88" s="134" t="s">
        <v>13</v>
      </c>
      <c r="G88" s="134" t="s">
        <v>13</v>
      </c>
      <c r="H88" s="134" t="s">
        <v>13</v>
      </c>
    </row>
    <row r="89" spans="1:8">
      <c r="A89" s="138" t="s">
        <v>383</v>
      </c>
      <c r="B89" s="135">
        <v>15</v>
      </c>
      <c r="C89" s="140" t="s">
        <v>384</v>
      </c>
      <c r="D89" s="134" t="s">
        <v>13</v>
      </c>
      <c r="E89" s="134" t="s">
        <v>13</v>
      </c>
      <c r="F89" s="134" t="s">
        <v>13</v>
      </c>
      <c r="G89" s="134" t="s">
        <v>13</v>
      </c>
      <c r="H89" s="134" t="s">
        <v>13</v>
      </c>
    </row>
    <row r="90" spans="1:8">
      <c r="A90" s="134" t="s">
        <v>13</v>
      </c>
      <c r="B90" s="134">
        <v>3</v>
      </c>
      <c r="C90" s="141" t="s">
        <v>314</v>
      </c>
      <c r="D90" s="134">
        <v>2</v>
      </c>
      <c r="E90" s="134" t="s">
        <v>13</v>
      </c>
      <c r="F90" s="132" t="s">
        <v>13</v>
      </c>
      <c r="G90" s="134">
        <v>15140</v>
      </c>
      <c r="H90" s="134" t="s">
        <v>385</v>
      </c>
    </row>
    <row r="91" spans="1:8">
      <c r="A91" s="134" t="s">
        <v>13</v>
      </c>
      <c r="B91" s="134">
        <v>7</v>
      </c>
      <c r="C91" s="141" t="s">
        <v>283</v>
      </c>
      <c r="D91" s="134">
        <v>4</v>
      </c>
      <c r="E91" s="134" t="s">
        <v>13</v>
      </c>
      <c r="F91" s="134" t="s">
        <v>13</v>
      </c>
      <c r="G91" s="134">
        <v>8410</v>
      </c>
      <c r="H91" s="134" t="s">
        <v>386</v>
      </c>
    </row>
    <row r="92" spans="1:8">
      <c r="A92" s="134" t="s">
        <v>13</v>
      </c>
      <c r="B92" s="134">
        <v>17</v>
      </c>
      <c r="C92" s="141" t="s">
        <v>314</v>
      </c>
      <c r="D92" s="134">
        <v>9</v>
      </c>
      <c r="E92" s="134" t="s">
        <v>13</v>
      </c>
      <c r="F92" s="134" t="s">
        <v>13</v>
      </c>
      <c r="G92" s="134">
        <v>10150</v>
      </c>
      <c r="H92" s="134" t="s">
        <v>387</v>
      </c>
    </row>
    <row r="93" spans="1:8">
      <c r="A93" s="134" t="s">
        <v>13</v>
      </c>
      <c r="B93" s="134">
        <v>22</v>
      </c>
      <c r="C93" s="141" t="s">
        <v>388</v>
      </c>
      <c r="D93" s="134">
        <v>12</v>
      </c>
      <c r="E93" s="134" t="s">
        <v>13</v>
      </c>
      <c r="F93" s="134" t="s">
        <v>13</v>
      </c>
      <c r="G93" s="134">
        <v>1500</v>
      </c>
      <c r="H93" s="134" t="s">
        <v>389</v>
      </c>
    </row>
    <row r="94" spans="1:8">
      <c r="A94" s="134" t="s">
        <v>13</v>
      </c>
      <c r="B94" s="134">
        <v>27</v>
      </c>
      <c r="C94" s="141" t="s">
        <v>283</v>
      </c>
      <c r="D94" s="134">
        <v>19</v>
      </c>
      <c r="E94" s="134" t="s">
        <v>13</v>
      </c>
      <c r="F94" s="134" t="s">
        <v>13</v>
      </c>
      <c r="G94" s="134">
        <v>8200</v>
      </c>
      <c r="H94" s="134" t="s">
        <v>390</v>
      </c>
    </row>
    <row r="95" spans="1:8">
      <c r="A95" s="134" t="s">
        <v>13</v>
      </c>
      <c r="B95" s="134" t="s">
        <v>13</v>
      </c>
      <c r="C95" s="141" t="s">
        <v>13</v>
      </c>
      <c r="D95" s="134" t="s">
        <v>13</v>
      </c>
      <c r="E95" s="134" t="s">
        <v>13</v>
      </c>
      <c r="F95" s="134" t="s">
        <v>13</v>
      </c>
      <c r="G95" s="134" t="s">
        <v>13</v>
      </c>
      <c r="H95" s="134" t="s">
        <v>13</v>
      </c>
    </row>
    <row r="96" spans="1:8">
      <c r="A96" s="138" t="s">
        <v>391</v>
      </c>
      <c r="B96" s="135">
        <v>16</v>
      </c>
      <c r="C96" s="140" t="s">
        <v>392</v>
      </c>
      <c r="D96" s="134" t="s">
        <v>13</v>
      </c>
      <c r="E96" s="134" t="s">
        <v>13</v>
      </c>
      <c r="F96" s="134" t="s">
        <v>13</v>
      </c>
      <c r="G96" s="134" t="s">
        <v>13</v>
      </c>
      <c r="H96" s="134" t="s">
        <v>13</v>
      </c>
    </row>
    <row r="97" spans="1:8">
      <c r="A97" s="134" t="s">
        <v>13</v>
      </c>
      <c r="B97" s="134">
        <v>7</v>
      </c>
      <c r="C97" s="141" t="s">
        <v>393</v>
      </c>
      <c r="D97" s="134">
        <v>4</v>
      </c>
      <c r="E97" s="134" t="s">
        <v>13</v>
      </c>
      <c r="F97" s="134" t="s">
        <v>394</v>
      </c>
      <c r="G97" s="134" t="s">
        <v>13</v>
      </c>
      <c r="H97" s="134" t="s">
        <v>395</v>
      </c>
    </row>
    <row r="98" spans="1:8">
      <c r="A98" s="134" t="s">
        <v>13</v>
      </c>
      <c r="B98" s="134">
        <v>15</v>
      </c>
      <c r="C98" s="141" t="s">
        <v>396</v>
      </c>
      <c r="D98" s="134">
        <v>8</v>
      </c>
      <c r="E98" s="134" t="s">
        <v>13</v>
      </c>
      <c r="F98" s="134" t="s">
        <v>13</v>
      </c>
      <c r="G98" s="134" t="s">
        <v>397</v>
      </c>
      <c r="H98" s="134" t="s">
        <v>398</v>
      </c>
    </row>
    <row r="99" spans="1:8">
      <c r="A99" s="134" t="s">
        <v>13</v>
      </c>
      <c r="B99" s="134">
        <v>26</v>
      </c>
      <c r="C99" s="141" t="s">
        <v>278</v>
      </c>
      <c r="D99" s="134">
        <v>18</v>
      </c>
      <c r="E99" s="134" t="s">
        <v>13</v>
      </c>
      <c r="F99" s="134" t="s">
        <v>13</v>
      </c>
      <c r="G99" s="134">
        <v>4000</v>
      </c>
      <c r="H99" s="134" t="s">
        <v>399</v>
      </c>
    </row>
    <row r="100" spans="1:8">
      <c r="A100" s="134" t="s">
        <v>13</v>
      </c>
      <c r="B100" s="134" t="s">
        <v>13</v>
      </c>
      <c r="C100" s="141" t="s">
        <v>13</v>
      </c>
      <c r="D100" s="134" t="s">
        <v>13</v>
      </c>
      <c r="E100" s="134" t="s">
        <v>13</v>
      </c>
      <c r="F100" s="134" t="s">
        <v>13</v>
      </c>
      <c r="G100" s="134" t="s">
        <v>13</v>
      </c>
      <c r="H100" s="134" t="s">
        <v>13</v>
      </c>
    </row>
    <row r="101" spans="1:8" ht="30.75">
      <c r="A101" s="138" t="s">
        <v>400</v>
      </c>
      <c r="B101" s="135">
        <v>17</v>
      </c>
      <c r="C101" s="140" t="s">
        <v>401</v>
      </c>
      <c r="D101" s="134" t="s">
        <v>13</v>
      </c>
      <c r="E101" s="134" t="s">
        <v>13</v>
      </c>
      <c r="F101" s="134" t="s">
        <v>13</v>
      </c>
      <c r="G101" s="134" t="s">
        <v>13</v>
      </c>
      <c r="H101" s="134" t="s">
        <v>13</v>
      </c>
    </row>
    <row r="102" spans="1:8">
      <c r="A102" s="134" t="s">
        <v>13</v>
      </c>
      <c r="B102" s="134">
        <v>7</v>
      </c>
      <c r="C102" s="141" t="s">
        <v>271</v>
      </c>
      <c r="D102" s="134">
        <v>4</v>
      </c>
      <c r="E102" s="132" t="s">
        <v>13</v>
      </c>
      <c r="F102" s="135" t="s">
        <v>402</v>
      </c>
      <c r="G102" s="134" t="s">
        <v>13</v>
      </c>
      <c r="H102" s="134" t="s">
        <v>403</v>
      </c>
    </row>
    <row r="103" spans="1:8">
      <c r="A103" s="134" t="s">
        <v>13</v>
      </c>
      <c r="B103" s="134">
        <v>27</v>
      </c>
      <c r="C103" s="141" t="s">
        <v>271</v>
      </c>
      <c r="D103" s="134">
        <v>19</v>
      </c>
      <c r="E103" s="134" t="s">
        <v>13</v>
      </c>
      <c r="F103" s="134">
        <v>410</v>
      </c>
      <c r="G103" s="134" t="s">
        <v>13</v>
      </c>
      <c r="H103" s="134" t="s">
        <v>404</v>
      </c>
    </row>
    <row r="104" spans="1:8">
      <c r="A104" s="134" t="s">
        <v>13</v>
      </c>
      <c r="B104" s="134" t="s">
        <v>13</v>
      </c>
      <c r="C104" s="141" t="s">
        <v>13</v>
      </c>
      <c r="D104" s="134" t="s">
        <v>13</v>
      </c>
      <c r="E104" s="134" t="s">
        <v>13</v>
      </c>
      <c r="F104" s="134" t="s">
        <v>13</v>
      </c>
      <c r="G104" s="134" t="s">
        <v>13</v>
      </c>
      <c r="H104" s="134" t="s">
        <v>13</v>
      </c>
    </row>
    <row r="105" spans="1:8" ht="30.75">
      <c r="A105" s="138" t="s">
        <v>405</v>
      </c>
      <c r="B105" s="135">
        <v>18</v>
      </c>
      <c r="C105" s="140" t="s">
        <v>406</v>
      </c>
      <c r="D105" s="134" t="s">
        <v>13</v>
      </c>
      <c r="E105" s="134" t="s">
        <v>13</v>
      </c>
      <c r="F105" s="134" t="s">
        <v>13</v>
      </c>
      <c r="G105" s="134" t="s">
        <v>13</v>
      </c>
      <c r="H105" s="134" t="s">
        <v>13</v>
      </c>
    </row>
    <row r="106" spans="1:8">
      <c r="A106" s="134" t="s">
        <v>13</v>
      </c>
      <c r="B106" s="134">
        <v>11</v>
      </c>
      <c r="C106" s="141" t="s">
        <v>407</v>
      </c>
      <c r="D106" s="134">
        <v>6</v>
      </c>
      <c r="E106" s="132" t="s">
        <v>13</v>
      </c>
      <c r="F106" s="135">
        <v>5000</v>
      </c>
      <c r="G106" s="134" t="s">
        <v>13</v>
      </c>
      <c r="H106" s="134" t="s">
        <v>408</v>
      </c>
    </row>
    <row r="107" spans="1:8">
      <c r="A107" s="134" t="s">
        <v>13</v>
      </c>
      <c r="B107" s="134" t="s">
        <v>13</v>
      </c>
      <c r="C107" s="141" t="s">
        <v>13</v>
      </c>
      <c r="D107" s="134" t="s">
        <v>13</v>
      </c>
      <c r="E107" s="134" t="s">
        <v>13</v>
      </c>
      <c r="F107" s="134" t="s">
        <v>13</v>
      </c>
      <c r="G107" s="134" t="s">
        <v>13</v>
      </c>
      <c r="H107" s="134" t="s">
        <v>13</v>
      </c>
    </row>
    <row r="108" spans="1:8">
      <c r="A108" s="134" t="s">
        <v>13</v>
      </c>
      <c r="B108" s="134" t="s">
        <v>13</v>
      </c>
      <c r="C108" s="141" t="s">
        <v>13</v>
      </c>
      <c r="D108" s="134" t="s">
        <v>13</v>
      </c>
      <c r="E108" s="134" t="s">
        <v>13</v>
      </c>
      <c r="F108" s="134" t="s">
        <v>13</v>
      </c>
      <c r="G108" s="134" t="s">
        <v>13</v>
      </c>
      <c r="H108" s="134" t="s">
        <v>13</v>
      </c>
    </row>
    <row r="109" spans="1:8">
      <c r="A109" s="138" t="s">
        <v>409</v>
      </c>
      <c r="B109" s="135">
        <v>19</v>
      </c>
      <c r="C109" s="140" t="s">
        <v>410</v>
      </c>
      <c r="D109" s="134" t="s">
        <v>13</v>
      </c>
      <c r="E109" s="134" t="s">
        <v>13</v>
      </c>
      <c r="F109" s="134" t="s">
        <v>13</v>
      </c>
      <c r="G109" s="134" t="s">
        <v>13</v>
      </c>
      <c r="H109" s="134" t="s">
        <v>13</v>
      </c>
    </row>
    <row r="110" spans="1:8" ht="30.75">
      <c r="A110" s="134" t="s">
        <v>13</v>
      </c>
      <c r="B110" s="134">
        <v>11</v>
      </c>
      <c r="C110" s="141" t="s">
        <v>411</v>
      </c>
      <c r="D110" s="134">
        <v>6</v>
      </c>
      <c r="E110" s="134" t="s">
        <v>13</v>
      </c>
      <c r="F110" s="134" t="s">
        <v>13</v>
      </c>
      <c r="G110" s="134">
        <v>5000</v>
      </c>
      <c r="H110" s="134" t="s">
        <v>408</v>
      </c>
    </row>
    <row r="111" spans="1:8">
      <c r="A111" s="134" t="s">
        <v>13</v>
      </c>
      <c r="B111" s="134">
        <v>24</v>
      </c>
      <c r="C111" s="141" t="s">
        <v>283</v>
      </c>
      <c r="D111" s="134">
        <v>16</v>
      </c>
      <c r="E111" s="134" t="s">
        <v>13</v>
      </c>
      <c r="F111" s="134" t="s">
        <v>13</v>
      </c>
      <c r="G111" s="134">
        <v>1810</v>
      </c>
      <c r="H111" s="134" t="s">
        <v>412</v>
      </c>
    </row>
    <row r="112" spans="1:8">
      <c r="A112" s="132" t="s">
        <v>13</v>
      </c>
      <c r="B112" s="135" t="s">
        <v>13</v>
      </c>
      <c r="C112" s="141" t="s">
        <v>13</v>
      </c>
      <c r="D112" s="134" t="s">
        <v>13</v>
      </c>
      <c r="E112" s="134" t="s">
        <v>13</v>
      </c>
      <c r="F112" s="134" t="s">
        <v>13</v>
      </c>
      <c r="G112" s="134" t="s">
        <v>13</v>
      </c>
      <c r="H112" s="134" t="s">
        <v>13</v>
      </c>
    </row>
    <row r="113" spans="1:8">
      <c r="A113" s="138" t="s">
        <v>413</v>
      </c>
      <c r="B113" s="135">
        <v>20</v>
      </c>
      <c r="C113" s="140" t="s">
        <v>414</v>
      </c>
      <c r="D113" s="134" t="s">
        <v>13</v>
      </c>
      <c r="E113" s="134" t="s">
        <v>13</v>
      </c>
      <c r="F113" s="134" t="s">
        <v>13</v>
      </c>
      <c r="G113" s="134" t="s">
        <v>13</v>
      </c>
      <c r="H113" s="134" t="s">
        <v>13</v>
      </c>
    </row>
    <row r="114" spans="1:8">
      <c r="A114" s="134" t="s">
        <v>13</v>
      </c>
      <c r="B114" s="134">
        <v>13</v>
      </c>
      <c r="C114" s="141" t="s">
        <v>318</v>
      </c>
      <c r="D114" s="134">
        <v>7</v>
      </c>
      <c r="E114" s="134" t="s">
        <v>13</v>
      </c>
      <c r="F114" s="134">
        <v>5980</v>
      </c>
      <c r="G114" s="134" t="s">
        <v>13</v>
      </c>
      <c r="H114" s="134" t="s">
        <v>415</v>
      </c>
    </row>
    <row r="115" spans="1:8">
      <c r="A115" s="134" t="s">
        <v>13</v>
      </c>
      <c r="B115" s="134" t="s">
        <v>13</v>
      </c>
      <c r="C115" s="141" t="s">
        <v>13</v>
      </c>
      <c r="D115" s="134" t="s">
        <v>13</v>
      </c>
      <c r="E115" s="134" t="s">
        <v>13</v>
      </c>
      <c r="F115" s="134" t="s">
        <v>13</v>
      </c>
      <c r="G115" s="134" t="s">
        <v>13</v>
      </c>
      <c r="H115" s="134" t="s">
        <v>13</v>
      </c>
    </row>
    <row r="116" spans="1:8" ht="30.75">
      <c r="A116" s="138" t="s">
        <v>416</v>
      </c>
      <c r="B116" s="135">
        <v>21</v>
      </c>
      <c r="C116" s="140" t="s">
        <v>417</v>
      </c>
      <c r="D116" s="134" t="s">
        <v>13</v>
      </c>
      <c r="E116" s="134" t="s">
        <v>13</v>
      </c>
      <c r="F116" s="134" t="s">
        <v>13</v>
      </c>
      <c r="G116" s="134" t="s">
        <v>13</v>
      </c>
      <c r="H116" s="134" t="s">
        <v>13</v>
      </c>
    </row>
    <row r="117" spans="1:8">
      <c r="A117" s="134" t="s">
        <v>13</v>
      </c>
      <c r="B117" s="134">
        <v>15</v>
      </c>
      <c r="C117" s="141" t="s">
        <v>304</v>
      </c>
      <c r="D117" s="134">
        <v>8</v>
      </c>
      <c r="E117" s="134" t="s">
        <v>13</v>
      </c>
      <c r="F117" s="134">
        <v>490</v>
      </c>
      <c r="G117" s="134" t="s">
        <v>13</v>
      </c>
      <c r="H117" s="134" t="s">
        <v>418</v>
      </c>
    </row>
    <row r="118" spans="1:8">
      <c r="A118" s="134" t="s">
        <v>13</v>
      </c>
      <c r="B118" s="134" t="s">
        <v>13</v>
      </c>
      <c r="C118" s="141" t="s">
        <v>13</v>
      </c>
      <c r="D118" s="134" t="s">
        <v>13</v>
      </c>
      <c r="E118" s="134" t="s">
        <v>13</v>
      </c>
      <c r="F118" s="134" t="s">
        <v>13</v>
      </c>
      <c r="G118" s="134" t="s">
        <v>13</v>
      </c>
      <c r="H118" s="134" t="s">
        <v>13</v>
      </c>
    </row>
    <row r="119" spans="1:8">
      <c r="A119" s="138" t="s">
        <v>419</v>
      </c>
      <c r="B119" s="135">
        <v>22</v>
      </c>
      <c r="C119" s="140" t="s">
        <v>420</v>
      </c>
      <c r="D119" s="134" t="s">
        <v>13</v>
      </c>
      <c r="E119" s="134" t="s">
        <v>13</v>
      </c>
      <c r="F119" s="134" t="s">
        <v>13</v>
      </c>
      <c r="G119" s="134" t="s">
        <v>13</v>
      </c>
      <c r="H119" s="134" t="s">
        <v>13</v>
      </c>
    </row>
    <row r="120" spans="1:8">
      <c r="A120" s="134" t="s">
        <v>13</v>
      </c>
      <c r="B120" s="134">
        <v>19</v>
      </c>
      <c r="C120" s="141" t="s">
        <v>328</v>
      </c>
      <c r="D120" s="134">
        <v>10</v>
      </c>
      <c r="E120" s="134" t="s">
        <v>13</v>
      </c>
      <c r="F120" s="134">
        <v>200</v>
      </c>
      <c r="G120" s="134" t="s">
        <v>13</v>
      </c>
      <c r="H120" s="134" t="s">
        <v>421</v>
      </c>
    </row>
    <row r="121" spans="1:8">
      <c r="A121" s="134" t="s">
        <v>13</v>
      </c>
      <c r="B121" s="134">
        <v>31</v>
      </c>
      <c r="C121" s="141" t="s">
        <v>283</v>
      </c>
      <c r="D121" s="134">
        <v>21</v>
      </c>
      <c r="E121" s="134" t="s">
        <v>13</v>
      </c>
      <c r="F121" s="134" t="s">
        <v>13</v>
      </c>
      <c r="G121" s="134">
        <v>200</v>
      </c>
      <c r="H121" s="134" t="s">
        <v>422</v>
      </c>
    </row>
    <row r="122" spans="1:8">
      <c r="A122" s="134" t="s">
        <v>13</v>
      </c>
      <c r="B122" s="134" t="s">
        <v>13</v>
      </c>
      <c r="C122" s="141" t="s">
        <v>13</v>
      </c>
      <c r="D122" s="132" t="s">
        <v>13</v>
      </c>
      <c r="E122" s="135" t="s">
        <v>13</v>
      </c>
      <c r="F122" s="134" t="s">
        <v>13</v>
      </c>
      <c r="G122" s="134" t="s">
        <v>13</v>
      </c>
      <c r="H122" s="134" t="s">
        <v>13</v>
      </c>
    </row>
    <row r="123" spans="1:8" ht="30.75">
      <c r="A123" s="138" t="s">
        <v>423</v>
      </c>
      <c r="B123" s="135">
        <v>23</v>
      </c>
      <c r="C123" s="140" t="s">
        <v>424</v>
      </c>
      <c r="D123" s="134" t="s">
        <v>13</v>
      </c>
      <c r="E123" s="134" t="s">
        <v>13</v>
      </c>
      <c r="F123" s="134" t="s">
        <v>13</v>
      </c>
      <c r="G123" s="134" t="s">
        <v>13</v>
      </c>
      <c r="H123" s="134" t="s">
        <v>13</v>
      </c>
    </row>
    <row r="124" spans="1:8">
      <c r="A124" s="134" t="s">
        <v>13</v>
      </c>
      <c r="B124" s="134">
        <v>21</v>
      </c>
      <c r="C124" s="141" t="s">
        <v>296</v>
      </c>
      <c r="D124" s="134">
        <v>11</v>
      </c>
      <c r="E124" s="134" t="s">
        <v>13</v>
      </c>
      <c r="F124" s="134" t="s">
        <v>13</v>
      </c>
      <c r="G124" s="134">
        <v>640</v>
      </c>
      <c r="H124" s="134" t="s">
        <v>425</v>
      </c>
    </row>
    <row r="125" spans="1:8">
      <c r="A125" s="134" t="s">
        <v>13</v>
      </c>
      <c r="B125" s="134" t="s">
        <v>13</v>
      </c>
      <c r="C125" s="141" t="s">
        <v>13</v>
      </c>
      <c r="D125" s="134" t="s">
        <v>13</v>
      </c>
      <c r="E125" s="134" t="s">
        <v>13</v>
      </c>
      <c r="F125" s="134" t="s">
        <v>13</v>
      </c>
      <c r="G125" s="134" t="s">
        <v>13</v>
      </c>
      <c r="H125" s="134" t="s">
        <v>13</v>
      </c>
    </row>
    <row r="126" spans="1:8" ht="30.75">
      <c r="A126" s="138" t="s">
        <v>426</v>
      </c>
      <c r="B126" s="135">
        <v>24</v>
      </c>
      <c r="C126" s="140" t="s">
        <v>427</v>
      </c>
      <c r="D126" s="134" t="s">
        <v>13</v>
      </c>
      <c r="E126" s="134" t="s">
        <v>13</v>
      </c>
      <c r="F126" s="134" t="s">
        <v>13</v>
      </c>
      <c r="G126" s="134" t="s">
        <v>13</v>
      </c>
      <c r="H126" s="134" t="s">
        <v>13</v>
      </c>
    </row>
    <row r="127" spans="1:8">
      <c r="A127" s="134" t="s">
        <v>13</v>
      </c>
      <c r="B127" s="134">
        <v>22</v>
      </c>
      <c r="C127" s="141" t="s">
        <v>271</v>
      </c>
      <c r="D127" s="134">
        <v>12</v>
      </c>
      <c r="E127" s="134" t="s">
        <v>13</v>
      </c>
      <c r="F127" s="134">
        <v>1680</v>
      </c>
      <c r="G127" s="134" t="s">
        <v>13</v>
      </c>
      <c r="H127" s="134" t="s">
        <v>428</v>
      </c>
    </row>
    <row r="128" spans="1:8">
      <c r="A128" s="134" t="s">
        <v>13</v>
      </c>
      <c r="B128" s="134">
        <v>23</v>
      </c>
      <c r="C128" s="141" t="s">
        <v>283</v>
      </c>
      <c r="D128" s="134">
        <v>13</v>
      </c>
      <c r="E128" s="134" t="s">
        <v>13</v>
      </c>
      <c r="F128" s="134" t="s">
        <v>13</v>
      </c>
      <c r="G128" s="134">
        <v>1596</v>
      </c>
      <c r="H128" s="134" t="s">
        <v>429</v>
      </c>
    </row>
    <row r="129" spans="1:8">
      <c r="A129" s="134" t="s">
        <v>13</v>
      </c>
      <c r="B129" s="134">
        <v>24</v>
      </c>
      <c r="C129" s="141" t="s">
        <v>283</v>
      </c>
      <c r="D129" s="134">
        <v>15</v>
      </c>
      <c r="E129" s="134" t="s">
        <v>13</v>
      </c>
      <c r="F129" s="134" t="s">
        <v>13</v>
      </c>
      <c r="G129" s="134">
        <v>84</v>
      </c>
      <c r="H129" s="134" t="s">
        <v>422</v>
      </c>
    </row>
    <row r="130" spans="1:8">
      <c r="A130" s="138" t="s">
        <v>430</v>
      </c>
      <c r="B130" s="135">
        <v>25</v>
      </c>
      <c r="C130" s="140" t="s">
        <v>431</v>
      </c>
      <c r="D130" s="134" t="s">
        <v>13</v>
      </c>
      <c r="E130" s="134" t="s">
        <v>13</v>
      </c>
      <c r="F130" s="134" t="s">
        <v>13</v>
      </c>
      <c r="G130" s="134" t="s">
        <v>13</v>
      </c>
      <c r="H130" s="134" t="s">
        <v>13</v>
      </c>
    </row>
    <row r="131" spans="1:8" ht="30.75">
      <c r="A131" s="134" t="s">
        <v>13</v>
      </c>
      <c r="B131" s="134">
        <v>23</v>
      </c>
      <c r="C131" s="141" t="s">
        <v>432</v>
      </c>
      <c r="D131" s="134">
        <v>13</v>
      </c>
      <c r="E131" s="134" t="s">
        <v>13</v>
      </c>
      <c r="F131" s="134">
        <v>27</v>
      </c>
      <c r="G131" s="134" t="s">
        <v>13</v>
      </c>
      <c r="H131" s="134" t="s">
        <v>433</v>
      </c>
    </row>
    <row r="132" spans="1:8">
      <c r="A132" s="134" t="s">
        <v>13</v>
      </c>
      <c r="B132" s="134">
        <v>27</v>
      </c>
      <c r="C132" s="141" t="s">
        <v>271</v>
      </c>
      <c r="D132" s="134">
        <v>19</v>
      </c>
      <c r="E132" s="134" t="s">
        <v>13</v>
      </c>
      <c r="F132" s="134" t="s">
        <v>434</v>
      </c>
      <c r="G132" s="134" t="s">
        <v>13</v>
      </c>
      <c r="H132" s="134" t="s">
        <v>435</v>
      </c>
    </row>
    <row r="133" spans="1:8">
      <c r="A133" s="134" t="s">
        <v>13</v>
      </c>
      <c r="B133" s="134" t="s">
        <v>13</v>
      </c>
      <c r="C133" s="141" t="s">
        <v>13</v>
      </c>
      <c r="D133" s="134" t="s">
        <v>13</v>
      </c>
      <c r="E133" s="134" t="s">
        <v>13</v>
      </c>
      <c r="F133" s="134" t="s">
        <v>13</v>
      </c>
      <c r="G133" s="134" t="s">
        <v>13</v>
      </c>
      <c r="H133" s="134" t="s">
        <v>13</v>
      </c>
    </row>
    <row r="134" spans="1:8">
      <c r="A134" s="138" t="s">
        <v>436</v>
      </c>
      <c r="B134" s="135">
        <v>26</v>
      </c>
      <c r="C134" s="140" t="s">
        <v>437</v>
      </c>
      <c r="D134" s="134" t="s">
        <v>13</v>
      </c>
      <c r="E134" s="134" t="s">
        <v>13</v>
      </c>
      <c r="F134" s="134" t="s">
        <v>13</v>
      </c>
      <c r="G134" s="134" t="s">
        <v>13</v>
      </c>
      <c r="H134" s="134" t="s">
        <v>13</v>
      </c>
    </row>
    <row r="135" spans="1:8">
      <c r="A135" s="134" t="s">
        <v>13</v>
      </c>
      <c r="B135" s="134">
        <v>23</v>
      </c>
      <c r="C135" s="141" t="s">
        <v>328</v>
      </c>
      <c r="D135" s="134">
        <v>14</v>
      </c>
      <c r="E135" s="134" t="s">
        <v>13</v>
      </c>
      <c r="F135" s="134">
        <v>241</v>
      </c>
      <c r="G135" s="134" t="s">
        <v>13</v>
      </c>
      <c r="H135" s="134" t="s">
        <v>438</v>
      </c>
    </row>
    <row r="136" spans="1:8">
      <c r="A136" s="134" t="s">
        <v>13</v>
      </c>
      <c r="B136" s="134" t="s">
        <v>13</v>
      </c>
      <c r="C136" s="141" t="s">
        <v>13</v>
      </c>
      <c r="D136" s="134" t="s">
        <v>13</v>
      </c>
      <c r="E136" s="134" t="s">
        <v>13</v>
      </c>
      <c r="F136" s="134" t="s">
        <v>13</v>
      </c>
      <c r="G136" s="134" t="s">
        <v>13</v>
      </c>
      <c r="H136" s="134" t="s">
        <v>13</v>
      </c>
    </row>
    <row r="137" spans="1:8">
      <c r="A137" s="138" t="s">
        <v>439</v>
      </c>
      <c r="B137" s="135">
        <v>27</v>
      </c>
      <c r="C137" s="140" t="s">
        <v>440</v>
      </c>
      <c r="D137" s="134" t="s">
        <v>13</v>
      </c>
      <c r="E137" s="134" t="s">
        <v>13</v>
      </c>
      <c r="F137" s="134" t="s">
        <v>13</v>
      </c>
      <c r="G137" s="134" t="s">
        <v>13</v>
      </c>
      <c r="H137" s="134" t="s">
        <v>13</v>
      </c>
    </row>
    <row r="138" spans="1:8">
      <c r="A138" s="134" t="s">
        <v>13</v>
      </c>
      <c r="B138" s="134">
        <v>24</v>
      </c>
      <c r="C138" s="141" t="s">
        <v>441</v>
      </c>
      <c r="D138" s="134">
        <v>15</v>
      </c>
      <c r="E138" s="134" t="s">
        <v>13</v>
      </c>
      <c r="F138" s="134">
        <v>75</v>
      </c>
      <c r="G138" s="134" t="s">
        <v>13</v>
      </c>
      <c r="H138" s="134" t="s">
        <v>442</v>
      </c>
    </row>
    <row r="139" spans="1:8">
      <c r="A139" s="134" t="s">
        <v>13</v>
      </c>
      <c r="B139" s="134" t="s">
        <v>13</v>
      </c>
      <c r="C139" s="141" t="s">
        <v>13</v>
      </c>
      <c r="D139" s="134" t="s">
        <v>13</v>
      </c>
      <c r="E139" s="134" t="s">
        <v>13</v>
      </c>
      <c r="F139" s="134" t="s">
        <v>13</v>
      </c>
      <c r="G139" s="134" t="s">
        <v>13</v>
      </c>
      <c r="H139" s="134" t="s">
        <v>13</v>
      </c>
    </row>
    <row r="140" spans="1:8">
      <c r="A140" s="138" t="s">
        <v>443</v>
      </c>
      <c r="B140" s="135">
        <v>28</v>
      </c>
      <c r="C140" s="140" t="s">
        <v>444</v>
      </c>
      <c r="D140" s="134" t="s">
        <v>13</v>
      </c>
      <c r="E140" s="134" t="s">
        <v>13</v>
      </c>
      <c r="F140" s="134" t="s">
        <v>13</v>
      </c>
      <c r="G140" s="134" t="s">
        <v>13</v>
      </c>
      <c r="H140" s="134" t="s">
        <v>13</v>
      </c>
    </row>
    <row r="141" spans="1:8">
      <c r="A141" s="134" t="s">
        <v>13</v>
      </c>
      <c r="B141" s="134">
        <v>31</v>
      </c>
      <c r="C141" s="141" t="s">
        <v>271</v>
      </c>
      <c r="D141" s="134">
        <v>21</v>
      </c>
      <c r="E141" s="134" t="s">
        <v>13</v>
      </c>
      <c r="F141" s="134">
        <v>16500</v>
      </c>
      <c r="G141" s="134" t="s">
        <v>13</v>
      </c>
      <c r="H141" s="134" t="s">
        <v>445</v>
      </c>
    </row>
    <row r="142" spans="1:8">
      <c r="A142" s="134" t="s">
        <v>13</v>
      </c>
      <c r="B142" s="134" t="s">
        <v>13</v>
      </c>
      <c r="C142" s="141" t="s">
        <v>13</v>
      </c>
      <c r="D142" s="134" t="s">
        <v>13</v>
      </c>
      <c r="E142" s="134" t="s">
        <v>13</v>
      </c>
      <c r="F142" s="134" t="s">
        <v>13</v>
      </c>
      <c r="G142" s="134" t="s">
        <v>13</v>
      </c>
      <c r="H142" s="134" t="s">
        <v>13</v>
      </c>
    </row>
    <row r="143" spans="1:8">
      <c r="A143" s="138" t="s">
        <v>446</v>
      </c>
      <c r="B143" s="135">
        <v>29</v>
      </c>
      <c r="C143" s="140" t="s">
        <v>447</v>
      </c>
      <c r="D143" s="134" t="s">
        <v>13</v>
      </c>
      <c r="E143" s="134" t="s">
        <v>13</v>
      </c>
      <c r="F143" s="134" t="s">
        <v>13</v>
      </c>
      <c r="G143" s="134" t="s">
        <v>13</v>
      </c>
      <c r="H143" s="134" t="s">
        <v>13</v>
      </c>
    </row>
    <row r="144" spans="1:8">
      <c r="A144" s="134" t="s">
        <v>13</v>
      </c>
      <c r="B144" s="134">
        <v>31</v>
      </c>
      <c r="C144" s="141" t="s">
        <v>271</v>
      </c>
      <c r="D144" s="134">
        <v>21</v>
      </c>
      <c r="E144" s="134" t="s">
        <v>13</v>
      </c>
      <c r="F144" s="134">
        <v>12800</v>
      </c>
      <c r="G144" s="134" t="s">
        <v>13</v>
      </c>
      <c r="H144" s="134" t="s">
        <v>448</v>
      </c>
    </row>
    <row r="145" spans="1:8">
      <c r="A145" s="134" t="s">
        <v>13</v>
      </c>
      <c r="B145" s="134" t="s">
        <v>13</v>
      </c>
      <c r="C145" s="141" t="s">
        <v>13</v>
      </c>
      <c r="D145" s="134" t="s">
        <v>13</v>
      </c>
      <c r="E145" s="134" t="s">
        <v>13</v>
      </c>
      <c r="F145" s="134" t="s">
        <v>13</v>
      </c>
      <c r="G145" s="134" t="s">
        <v>13</v>
      </c>
      <c r="H145" s="134" t="s">
        <v>13</v>
      </c>
    </row>
    <row r="146" spans="1:8">
      <c r="A146" s="138" t="s">
        <v>449</v>
      </c>
      <c r="B146" s="135">
        <v>30</v>
      </c>
      <c r="C146" s="140" t="s">
        <v>450</v>
      </c>
      <c r="D146" s="132" t="s">
        <v>13</v>
      </c>
      <c r="E146" s="135" t="s">
        <v>13</v>
      </c>
      <c r="F146" s="132" t="s">
        <v>13</v>
      </c>
      <c r="G146" s="135" t="s">
        <v>13</v>
      </c>
      <c r="H146" s="134" t="s">
        <v>13</v>
      </c>
    </row>
    <row r="147" spans="1:8">
      <c r="A147" s="138" t="s">
        <v>13</v>
      </c>
      <c r="B147" s="135">
        <v>31</v>
      </c>
      <c r="C147" s="141" t="s">
        <v>271</v>
      </c>
      <c r="D147" s="134">
        <v>21</v>
      </c>
      <c r="E147" s="134" t="s">
        <v>13</v>
      </c>
      <c r="F147" s="134">
        <v>1250</v>
      </c>
      <c r="G147" s="134" t="s">
        <v>13</v>
      </c>
      <c r="H147" s="134" t="s">
        <v>451</v>
      </c>
    </row>
    <row r="148" spans="1:8">
      <c r="A148" s="134" t="s">
        <v>13</v>
      </c>
      <c r="B148" s="134" t="s">
        <v>13</v>
      </c>
      <c r="C148" s="141" t="s">
        <v>13</v>
      </c>
      <c r="D148" s="134" t="s">
        <v>13</v>
      </c>
      <c r="E148" s="134" t="s">
        <v>13</v>
      </c>
      <c r="F148" s="134" t="s">
        <v>13</v>
      </c>
      <c r="G148" s="134" t="s">
        <v>13</v>
      </c>
      <c r="H148" s="134" t="s">
        <v>13</v>
      </c>
    </row>
    <row r="149" spans="1:8" ht="30.75">
      <c r="A149" s="138" t="s">
        <v>452</v>
      </c>
      <c r="B149" s="135">
        <v>31</v>
      </c>
      <c r="C149" s="140" t="s">
        <v>453</v>
      </c>
      <c r="D149" s="132" t="s">
        <v>13</v>
      </c>
      <c r="E149" s="135" t="s">
        <v>13</v>
      </c>
      <c r="F149" s="132" t="s">
        <v>13</v>
      </c>
      <c r="G149" s="135" t="s">
        <v>13</v>
      </c>
      <c r="H149" s="134" t="s">
        <v>13</v>
      </c>
    </row>
    <row r="150" spans="1:8">
      <c r="A150" s="138" t="s">
        <v>13</v>
      </c>
      <c r="B150" s="135">
        <v>31</v>
      </c>
      <c r="C150" s="141" t="s">
        <v>271</v>
      </c>
      <c r="D150" s="134">
        <v>21</v>
      </c>
      <c r="E150" s="134" t="s">
        <v>13</v>
      </c>
      <c r="F150" s="134">
        <v>1000</v>
      </c>
      <c r="G150" s="134" t="s">
        <v>13</v>
      </c>
      <c r="H150" s="134" t="s">
        <v>454</v>
      </c>
    </row>
    <row r="151" spans="1:8">
      <c r="A151" s="134" t="s">
        <v>13</v>
      </c>
      <c r="B151" s="134" t="s">
        <v>13</v>
      </c>
      <c r="C151" s="141" t="s">
        <v>13</v>
      </c>
      <c r="D151" s="134" t="s">
        <v>13</v>
      </c>
      <c r="E151" s="134" t="s">
        <v>13</v>
      </c>
      <c r="F151" s="134" t="s">
        <v>13</v>
      </c>
      <c r="G151" s="134" t="s">
        <v>13</v>
      </c>
      <c r="H151" s="134" t="s">
        <v>13</v>
      </c>
    </row>
    <row r="152" spans="1:8">
      <c r="A152" s="138" t="s">
        <v>455</v>
      </c>
      <c r="B152" s="135">
        <v>32</v>
      </c>
      <c r="C152" s="140" t="s">
        <v>456</v>
      </c>
      <c r="D152" s="132" t="s">
        <v>13</v>
      </c>
      <c r="E152" s="135" t="s">
        <v>13</v>
      </c>
      <c r="F152" s="134" t="s">
        <v>13</v>
      </c>
      <c r="G152" s="134" t="s">
        <v>13</v>
      </c>
      <c r="H152" s="134" t="s">
        <v>13</v>
      </c>
    </row>
    <row r="153" spans="1:8">
      <c r="A153" s="134" t="s">
        <v>13</v>
      </c>
      <c r="B153" s="134">
        <v>31</v>
      </c>
      <c r="C153" s="141" t="s">
        <v>271</v>
      </c>
      <c r="D153" s="134">
        <v>21</v>
      </c>
      <c r="E153" s="134" t="s">
        <v>13</v>
      </c>
      <c r="F153" s="134" t="s">
        <v>457</v>
      </c>
      <c r="G153" s="134" t="s">
        <v>13</v>
      </c>
      <c r="H153" s="134" t="s">
        <v>458</v>
      </c>
    </row>
    <row r="154" spans="1:8">
      <c r="A154" s="134" t="s">
        <v>13</v>
      </c>
      <c r="B154" s="134" t="s">
        <v>13</v>
      </c>
      <c r="C154" s="141" t="s">
        <v>13</v>
      </c>
      <c r="D154" s="134" t="s">
        <v>13</v>
      </c>
      <c r="E154" s="134" t="s">
        <v>13</v>
      </c>
      <c r="F154" s="134" t="s">
        <v>13</v>
      </c>
      <c r="G154" s="134" t="s">
        <v>13</v>
      </c>
      <c r="H154" s="134" t="s">
        <v>13</v>
      </c>
    </row>
    <row r="155" spans="1:8">
      <c r="A155" s="138" t="s">
        <v>459</v>
      </c>
      <c r="B155" s="135">
        <v>33</v>
      </c>
      <c r="C155" s="140" t="s">
        <v>460</v>
      </c>
      <c r="D155" s="132" t="s">
        <v>13</v>
      </c>
      <c r="E155" s="135" t="s">
        <v>13</v>
      </c>
      <c r="F155" s="134" t="s">
        <v>13</v>
      </c>
      <c r="G155" s="134" t="s">
        <v>13</v>
      </c>
      <c r="H155" s="134" t="s">
        <v>13</v>
      </c>
    </row>
    <row r="156" spans="1:8">
      <c r="A156" s="134" t="s">
        <v>13</v>
      </c>
      <c r="B156" s="134">
        <v>31</v>
      </c>
      <c r="C156" s="141" t="s">
        <v>271</v>
      </c>
      <c r="D156" s="134">
        <v>21</v>
      </c>
      <c r="E156" s="134" t="s">
        <v>13</v>
      </c>
      <c r="F156" s="134" t="s">
        <v>461</v>
      </c>
      <c r="G156" s="134" t="s">
        <v>13</v>
      </c>
      <c r="H156" s="134" t="s">
        <v>462</v>
      </c>
    </row>
    <row r="157" spans="1:8">
      <c r="A157" s="134" t="s">
        <v>13</v>
      </c>
      <c r="B157" s="134" t="s">
        <v>13</v>
      </c>
      <c r="C157" s="141" t="s">
        <v>13</v>
      </c>
      <c r="D157" s="134" t="s">
        <v>13</v>
      </c>
      <c r="E157" s="134" t="s">
        <v>13</v>
      </c>
      <c r="F157" s="134" t="s">
        <v>13</v>
      </c>
      <c r="G157" s="134" t="s">
        <v>13</v>
      </c>
      <c r="H157" s="134" t="s">
        <v>13</v>
      </c>
    </row>
    <row r="158" spans="1:8">
      <c r="A158" s="138" t="s">
        <v>463</v>
      </c>
      <c r="B158" s="135">
        <v>34</v>
      </c>
      <c r="C158" s="140" t="s">
        <v>464</v>
      </c>
      <c r="D158" s="134" t="s">
        <v>13</v>
      </c>
      <c r="E158" s="134" t="s">
        <v>13</v>
      </c>
      <c r="F158" s="134" t="s">
        <v>13</v>
      </c>
      <c r="G158" s="134" t="s">
        <v>13</v>
      </c>
      <c r="H158" s="134" t="s">
        <v>13</v>
      </c>
    </row>
    <row r="159" spans="1:8">
      <c r="A159" s="134" t="s">
        <v>13</v>
      </c>
      <c r="B159" s="134">
        <v>31</v>
      </c>
      <c r="C159" s="141" t="s">
        <v>465</v>
      </c>
      <c r="D159" s="134">
        <v>21</v>
      </c>
      <c r="E159" s="134" t="s">
        <v>13</v>
      </c>
      <c r="F159" s="134" t="s">
        <v>13</v>
      </c>
      <c r="G159" s="134" t="s">
        <v>466</v>
      </c>
      <c r="H159" s="134" t="s">
        <v>467</v>
      </c>
    </row>
    <row r="160" spans="1:8">
      <c r="A160" s="132" t="s">
        <v>13</v>
      </c>
      <c r="B160" s="135" t="s">
        <v>13</v>
      </c>
      <c r="C160" s="141" t="s">
        <v>13</v>
      </c>
      <c r="D160" s="134" t="s">
        <v>13</v>
      </c>
      <c r="E160" s="134" t="s">
        <v>13</v>
      </c>
      <c r="F160" s="134" t="s">
        <v>13</v>
      </c>
      <c r="G160" s="134" t="s">
        <v>13</v>
      </c>
      <c r="H160" s="134" t="s">
        <v>13</v>
      </c>
    </row>
    <row r="161" spans="1:8">
      <c r="A161" s="138" t="s">
        <v>468</v>
      </c>
      <c r="B161" s="135">
        <v>35</v>
      </c>
      <c r="C161" s="140" t="s">
        <v>469</v>
      </c>
      <c r="D161" s="134" t="s">
        <v>13</v>
      </c>
      <c r="E161" s="134" t="s">
        <v>13</v>
      </c>
      <c r="F161" s="134" t="s">
        <v>13</v>
      </c>
      <c r="G161" s="134" t="s">
        <v>13</v>
      </c>
      <c r="H161" s="134" t="s">
        <v>13</v>
      </c>
    </row>
    <row r="162" spans="1:8">
      <c r="A162" s="134" t="s">
        <v>13</v>
      </c>
      <c r="B162" s="134">
        <v>31</v>
      </c>
      <c r="C162" s="141" t="s">
        <v>470</v>
      </c>
      <c r="D162" s="134">
        <v>22</v>
      </c>
      <c r="E162" s="134" t="s">
        <v>13</v>
      </c>
      <c r="F162" s="134">
        <v>6000</v>
      </c>
      <c r="G162" s="134" t="s">
        <v>13</v>
      </c>
      <c r="H162" s="134" t="s">
        <v>471</v>
      </c>
    </row>
    <row r="163" spans="1:8">
      <c r="A163" s="134" t="s">
        <v>13</v>
      </c>
      <c r="B163" s="134" t="s">
        <v>13</v>
      </c>
      <c r="C163" s="141" t="s">
        <v>13</v>
      </c>
      <c r="D163" s="134" t="s">
        <v>13</v>
      </c>
      <c r="E163" s="134" t="s">
        <v>13</v>
      </c>
      <c r="F163" s="134" t="s">
        <v>13</v>
      </c>
      <c r="G163" s="134" t="s">
        <v>13</v>
      </c>
      <c r="H163" s="134" t="s">
        <v>13</v>
      </c>
    </row>
    <row r="164" spans="1:8">
      <c r="A164" s="138" t="s">
        <v>472</v>
      </c>
      <c r="B164" s="135">
        <v>36</v>
      </c>
      <c r="C164" s="140" t="s">
        <v>473</v>
      </c>
      <c r="D164" s="134" t="s">
        <v>13</v>
      </c>
      <c r="E164" s="134" t="s">
        <v>13</v>
      </c>
      <c r="F164" s="134" t="s">
        <v>13</v>
      </c>
      <c r="G164" s="134" t="s">
        <v>13</v>
      </c>
      <c r="H164" s="134" t="s">
        <v>13</v>
      </c>
    </row>
    <row r="165" spans="1:8">
      <c r="A165" s="134" t="s">
        <v>13</v>
      </c>
      <c r="B165" s="134">
        <v>31</v>
      </c>
      <c r="C165" s="141" t="s">
        <v>474</v>
      </c>
      <c r="D165" s="134">
        <v>23</v>
      </c>
      <c r="E165" s="134" t="s">
        <v>13</v>
      </c>
      <c r="F165" s="134" t="s">
        <v>345</v>
      </c>
      <c r="G165" s="134" t="s">
        <v>13</v>
      </c>
      <c r="H165" s="134" t="s">
        <v>475</v>
      </c>
    </row>
    <row r="166" spans="1:8">
      <c r="A166" s="134" t="s">
        <v>13</v>
      </c>
      <c r="B166" s="134" t="s">
        <v>13</v>
      </c>
      <c r="C166" s="141" t="s">
        <v>13</v>
      </c>
      <c r="D166" s="134" t="s">
        <v>13</v>
      </c>
      <c r="E166" s="134" t="s">
        <v>13</v>
      </c>
      <c r="F166" s="134" t="s">
        <v>476</v>
      </c>
      <c r="G166" s="134" t="s">
        <v>476</v>
      </c>
      <c r="H166" s="134" t="s">
        <v>13</v>
      </c>
    </row>
    <row r="167" spans="1:8">
      <c r="A167" s="134" t="s">
        <v>13</v>
      </c>
      <c r="B167" s="134" t="s">
        <v>13</v>
      </c>
      <c r="C167" s="141" t="s">
        <v>13</v>
      </c>
      <c r="D167" s="134" t="s">
        <v>13</v>
      </c>
      <c r="E167" s="134" t="s">
        <v>13</v>
      </c>
      <c r="F167" s="134" t="s">
        <v>13</v>
      </c>
      <c r="G167" s="134" t="s">
        <v>13</v>
      </c>
      <c r="H167" s="134" t="s">
        <v>13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BB4A9-8ACE-4FE3-BA40-BD04E0B1971F}">
  <dimension ref="A2:H43"/>
  <sheetViews>
    <sheetView workbookViewId="0">
      <selection activeCell="J18" sqref="J18"/>
    </sheetView>
  </sheetViews>
  <sheetFormatPr defaultRowHeight="15"/>
  <cols>
    <col min="4" max="4" width="40.85546875" customWidth="1"/>
    <col min="5" max="5" width="10.5703125" bestFit="1" customWidth="1"/>
    <col min="6" max="6" width="11.140625" customWidth="1"/>
    <col min="7" max="7" width="10.140625" bestFit="1" customWidth="1"/>
    <col min="8" max="8" width="10.5703125" bestFit="1" customWidth="1"/>
  </cols>
  <sheetData>
    <row r="2" spans="1:8">
      <c r="B2" s="215" t="s">
        <v>477</v>
      </c>
      <c r="C2" s="216"/>
      <c r="D2" s="216"/>
      <c r="E2" s="216"/>
      <c r="F2" s="216"/>
      <c r="G2" s="216"/>
      <c r="H2" s="216"/>
    </row>
    <row r="3" spans="1:8">
      <c r="B3" s="215" t="s">
        <v>478</v>
      </c>
      <c r="C3" s="216"/>
      <c r="D3" s="216"/>
      <c r="E3" s="216"/>
      <c r="F3" s="216"/>
      <c r="G3" s="216"/>
      <c r="H3" s="216"/>
    </row>
    <row r="4" spans="1:8" ht="22.5">
      <c r="A4" s="77"/>
      <c r="B4" s="144"/>
      <c r="C4" s="144"/>
      <c r="D4" s="144"/>
      <c r="E4" s="190"/>
      <c r="F4" s="190"/>
      <c r="G4" s="190"/>
      <c r="H4" s="190"/>
    </row>
    <row r="5" spans="1:8">
      <c r="B5" s="217" t="s">
        <v>479</v>
      </c>
      <c r="C5" s="217" t="s">
        <v>480</v>
      </c>
      <c r="D5" s="191" t="s">
        <v>13</v>
      </c>
      <c r="E5" s="211" t="s">
        <v>481</v>
      </c>
      <c r="F5" s="212"/>
      <c r="G5" s="213" t="s">
        <v>482</v>
      </c>
      <c r="H5" s="214"/>
    </row>
    <row r="6" spans="1:8">
      <c r="B6" s="218"/>
      <c r="C6" s="218"/>
      <c r="D6" s="93" t="s">
        <v>265</v>
      </c>
      <c r="E6" s="93" t="s">
        <v>267</v>
      </c>
      <c r="F6" s="93" t="s">
        <v>268</v>
      </c>
      <c r="G6" s="93" t="s">
        <v>483</v>
      </c>
      <c r="H6" s="93" t="s">
        <v>484</v>
      </c>
    </row>
    <row r="7" spans="1:8">
      <c r="B7" s="145">
        <v>1</v>
      </c>
      <c r="C7" s="94">
        <v>1</v>
      </c>
      <c r="D7" s="94" t="s">
        <v>485</v>
      </c>
      <c r="E7" s="94">
        <v>44472.1</v>
      </c>
      <c r="F7" s="94">
        <v>43972.1</v>
      </c>
      <c r="G7" s="94">
        <f>E7-F7</f>
        <v>500</v>
      </c>
      <c r="H7" s="94" t="s">
        <v>13</v>
      </c>
    </row>
    <row r="8" spans="1:8">
      <c r="B8" s="145">
        <v>2</v>
      </c>
      <c r="C8" s="94">
        <v>2</v>
      </c>
      <c r="D8" s="94" t="s">
        <v>486</v>
      </c>
      <c r="E8" s="94" t="s">
        <v>487</v>
      </c>
      <c r="F8" s="94" t="s">
        <v>488</v>
      </c>
      <c r="G8" s="94">
        <v>107656.37</v>
      </c>
      <c r="H8" s="94" t="s">
        <v>13</v>
      </c>
    </row>
    <row r="9" spans="1:8">
      <c r="B9" s="145">
        <v>3</v>
      </c>
      <c r="C9" s="94">
        <v>3</v>
      </c>
      <c r="D9" s="94" t="s">
        <v>489</v>
      </c>
      <c r="E9" s="94" t="s">
        <v>490</v>
      </c>
      <c r="F9" s="94" t="s">
        <v>491</v>
      </c>
      <c r="G9" s="94">
        <v>3748.98</v>
      </c>
      <c r="H9" s="94" t="s">
        <v>13</v>
      </c>
    </row>
    <row r="10" spans="1:8">
      <c r="B10" s="145">
        <v>4</v>
      </c>
      <c r="C10" s="94">
        <v>4</v>
      </c>
      <c r="D10" s="94" t="s">
        <v>492</v>
      </c>
      <c r="E10" s="127">
        <v>49767.5</v>
      </c>
      <c r="F10" s="145" t="s">
        <v>13</v>
      </c>
      <c r="G10" s="127">
        <v>49767.5</v>
      </c>
      <c r="H10" s="145" t="s">
        <v>13</v>
      </c>
    </row>
    <row r="11" spans="1:8">
      <c r="B11" s="145">
        <v>5</v>
      </c>
      <c r="C11" s="94">
        <v>5</v>
      </c>
      <c r="D11" s="139" t="s">
        <v>342</v>
      </c>
      <c r="E11" s="93" t="s">
        <v>493</v>
      </c>
      <c r="F11" s="94">
        <v>621.6</v>
      </c>
      <c r="G11" s="93" t="s">
        <v>494</v>
      </c>
      <c r="H11" s="94" t="s">
        <v>13</v>
      </c>
    </row>
    <row r="12" spans="1:8" ht="27.75" customHeight="1">
      <c r="B12" s="145">
        <v>6</v>
      </c>
      <c r="C12" s="94">
        <v>6</v>
      </c>
      <c r="D12" s="147" t="s">
        <v>495</v>
      </c>
      <c r="E12" s="94">
        <v>14433</v>
      </c>
      <c r="F12" s="94" t="s">
        <v>13</v>
      </c>
      <c r="G12" s="94">
        <v>14433</v>
      </c>
      <c r="H12" s="94" t="s">
        <v>13</v>
      </c>
    </row>
    <row r="13" spans="1:8" ht="45.75">
      <c r="B13" s="145">
        <v>7</v>
      </c>
      <c r="C13" s="94">
        <v>7</v>
      </c>
      <c r="D13" s="148" t="s">
        <v>496</v>
      </c>
      <c r="E13" s="94" t="s">
        <v>497</v>
      </c>
      <c r="F13" s="94" t="s">
        <v>13</v>
      </c>
      <c r="G13" s="94">
        <v>4705</v>
      </c>
      <c r="H13" s="94" t="s">
        <v>13</v>
      </c>
    </row>
    <row r="14" spans="1:8">
      <c r="B14" s="145">
        <v>8</v>
      </c>
      <c r="C14" s="94">
        <v>8</v>
      </c>
      <c r="D14" s="149" t="s">
        <v>354</v>
      </c>
      <c r="E14" s="94">
        <v>2750</v>
      </c>
      <c r="F14" s="94" t="s">
        <v>13</v>
      </c>
      <c r="G14" s="94">
        <v>2750</v>
      </c>
      <c r="H14" s="94" t="s">
        <v>13</v>
      </c>
    </row>
    <row r="15" spans="1:8">
      <c r="B15" s="145">
        <v>9</v>
      </c>
      <c r="C15" s="94">
        <v>9</v>
      </c>
      <c r="D15" s="149" t="s">
        <v>357</v>
      </c>
      <c r="E15" s="146" t="s">
        <v>498</v>
      </c>
      <c r="F15" s="94">
        <v>26697.599999999999</v>
      </c>
      <c r="G15" s="190"/>
      <c r="H15" s="145" t="s">
        <v>499</v>
      </c>
    </row>
    <row r="16" spans="1:8" ht="45.75">
      <c r="B16" s="145">
        <v>10</v>
      </c>
      <c r="C16" s="94">
        <v>10</v>
      </c>
      <c r="D16" s="148" t="s">
        <v>500</v>
      </c>
      <c r="E16" s="93" t="s">
        <v>501</v>
      </c>
      <c r="F16" s="94">
        <v>3000</v>
      </c>
      <c r="G16" s="93" t="s">
        <v>13</v>
      </c>
      <c r="H16" s="94">
        <v>2000</v>
      </c>
    </row>
    <row r="17" spans="2:8" ht="30.75">
      <c r="B17" s="145">
        <v>11</v>
      </c>
      <c r="C17" s="94">
        <v>11</v>
      </c>
      <c r="D17" s="150" t="s">
        <v>369</v>
      </c>
      <c r="E17" s="94"/>
      <c r="F17" s="94">
        <v>721.65</v>
      </c>
      <c r="G17" s="94" t="s">
        <v>13</v>
      </c>
      <c r="H17" s="94">
        <v>721.65</v>
      </c>
    </row>
    <row r="18" spans="2:8" ht="30.75">
      <c r="B18" s="145">
        <v>12</v>
      </c>
      <c r="C18" s="94">
        <v>12</v>
      </c>
      <c r="D18" s="150" t="s">
        <v>373</v>
      </c>
      <c r="E18" s="94"/>
      <c r="F18" s="94">
        <v>70</v>
      </c>
      <c r="G18" s="94" t="s">
        <v>13</v>
      </c>
      <c r="H18" s="94">
        <v>70</v>
      </c>
    </row>
    <row r="19" spans="2:8" ht="30.75">
      <c r="B19" s="145">
        <v>13</v>
      </c>
      <c r="C19" s="94">
        <v>13</v>
      </c>
      <c r="D19" s="150" t="s">
        <v>377</v>
      </c>
      <c r="E19" s="94" t="s">
        <v>13</v>
      </c>
      <c r="F19" s="94">
        <v>168</v>
      </c>
      <c r="G19" s="94" t="s">
        <v>13</v>
      </c>
      <c r="H19" s="94">
        <v>168</v>
      </c>
    </row>
    <row r="20" spans="2:8">
      <c r="B20" s="145">
        <v>14</v>
      </c>
      <c r="C20" s="94">
        <v>14</v>
      </c>
      <c r="D20" s="149" t="s">
        <v>380</v>
      </c>
      <c r="E20" s="94" t="s">
        <v>13</v>
      </c>
      <c r="F20" s="94">
        <v>166173.01</v>
      </c>
      <c r="G20" s="94" t="s">
        <v>13</v>
      </c>
      <c r="H20" s="94" t="s">
        <v>502</v>
      </c>
    </row>
    <row r="21" spans="2:8">
      <c r="B21" s="145">
        <v>15</v>
      </c>
      <c r="C21" s="94">
        <v>15</v>
      </c>
      <c r="D21" s="149" t="s">
        <v>384</v>
      </c>
      <c r="E21" s="94"/>
      <c r="F21" s="151">
        <v>43400</v>
      </c>
      <c r="G21" s="94" t="s">
        <v>13</v>
      </c>
      <c r="H21" s="94">
        <v>43400</v>
      </c>
    </row>
    <row r="22" spans="2:8">
      <c r="B22" s="145">
        <v>16</v>
      </c>
      <c r="C22" s="94">
        <v>16</v>
      </c>
      <c r="D22" s="149" t="s">
        <v>392</v>
      </c>
      <c r="E22" s="94">
        <v>7989.5</v>
      </c>
      <c r="F22" s="94">
        <v>4548.8</v>
      </c>
      <c r="G22" s="94">
        <f>E22-F22</f>
        <v>3440.7</v>
      </c>
      <c r="H22" s="94" t="s">
        <v>13</v>
      </c>
    </row>
    <row r="23" spans="2:8" ht="30.75">
      <c r="B23" s="145">
        <v>17</v>
      </c>
      <c r="C23" s="94">
        <v>17</v>
      </c>
      <c r="D23" s="150" t="s">
        <v>401</v>
      </c>
      <c r="E23" s="94">
        <v>830.5</v>
      </c>
      <c r="F23" s="94" t="s">
        <v>13</v>
      </c>
      <c r="G23" s="94">
        <v>830.5</v>
      </c>
      <c r="H23" s="94" t="s">
        <v>13</v>
      </c>
    </row>
    <row r="24" spans="2:8" ht="30.75">
      <c r="B24" s="145">
        <v>18</v>
      </c>
      <c r="C24" s="94">
        <v>18</v>
      </c>
      <c r="D24" s="150" t="s">
        <v>406</v>
      </c>
      <c r="E24" s="94">
        <v>5000</v>
      </c>
      <c r="F24" s="94" t="s">
        <v>13</v>
      </c>
      <c r="G24" s="94">
        <v>5000</v>
      </c>
      <c r="H24" s="94" t="s">
        <v>13</v>
      </c>
    </row>
    <row r="25" spans="2:8">
      <c r="B25" s="145">
        <v>19</v>
      </c>
      <c r="C25" s="94">
        <v>19</v>
      </c>
      <c r="D25" s="149" t="s">
        <v>410</v>
      </c>
      <c r="E25" s="94" t="s">
        <v>13</v>
      </c>
      <c r="F25" s="94">
        <v>6810</v>
      </c>
      <c r="G25" s="94"/>
      <c r="H25" s="94">
        <v>6810</v>
      </c>
    </row>
    <row r="26" spans="2:8">
      <c r="B26" s="145">
        <v>20</v>
      </c>
      <c r="C26" s="94">
        <v>20</v>
      </c>
      <c r="D26" s="149" t="s">
        <v>414</v>
      </c>
      <c r="E26" s="94">
        <v>5980</v>
      </c>
      <c r="F26" s="94" t="s">
        <v>13</v>
      </c>
      <c r="G26" s="94">
        <v>5980</v>
      </c>
      <c r="H26" s="94" t="s">
        <v>13</v>
      </c>
    </row>
    <row r="27" spans="2:8" ht="30.75">
      <c r="B27" s="145">
        <v>21</v>
      </c>
      <c r="C27" s="94">
        <v>21</v>
      </c>
      <c r="D27" s="150" t="s">
        <v>417</v>
      </c>
      <c r="E27" s="94">
        <v>490</v>
      </c>
      <c r="F27" s="94" t="s">
        <v>13</v>
      </c>
      <c r="G27" s="94">
        <v>490</v>
      </c>
      <c r="H27" s="94" t="s">
        <v>13</v>
      </c>
    </row>
    <row r="28" spans="2:8">
      <c r="B28" s="145">
        <v>22</v>
      </c>
      <c r="C28" s="94">
        <v>22</v>
      </c>
      <c r="D28" s="149" t="s">
        <v>420</v>
      </c>
      <c r="E28" s="94">
        <v>200</v>
      </c>
      <c r="F28" s="94">
        <v>200</v>
      </c>
      <c r="G28" s="94">
        <v>0</v>
      </c>
      <c r="H28" s="94" t="s">
        <v>13</v>
      </c>
    </row>
    <row r="29" spans="2:8" ht="30.75">
      <c r="B29" s="145">
        <v>23</v>
      </c>
      <c r="C29" s="94">
        <v>23</v>
      </c>
      <c r="D29" s="150" t="s">
        <v>424</v>
      </c>
      <c r="E29" s="94"/>
      <c r="F29" s="94">
        <v>640</v>
      </c>
      <c r="G29" s="94" t="s">
        <v>13</v>
      </c>
      <c r="H29" s="94">
        <v>640</v>
      </c>
    </row>
    <row r="30" spans="2:8" ht="30.75">
      <c r="B30" s="145">
        <v>24</v>
      </c>
      <c r="C30" s="94">
        <v>24</v>
      </c>
      <c r="D30" s="150" t="s">
        <v>427</v>
      </c>
      <c r="E30" s="94">
        <v>1680</v>
      </c>
      <c r="F30" s="94">
        <v>1680</v>
      </c>
      <c r="G30" s="94">
        <v>0</v>
      </c>
      <c r="H30" s="94"/>
    </row>
    <row r="31" spans="2:8">
      <c r="B31" s="145">
        <v>25</v>
      </c>
      <c r="C31" s="94">
        <v>25</v>
      </c>
      <c r="D31" s="149" t="s">
        <v>431</v>
      </c>
      <c r="E31" s="94">
        <v>174.6</v>
      </c>
      <c r="F31" s="94" t="s">
        <v>13</v>
      </c>
      <c r="G31" s="94">
        <v>174.6</v>
      </c>
      <c r="H31" s="94" t="s">
        <v>13</v>
      </c>
    </row>
    <row r="32" spans="2:8">
      <c r="B32" s="145">
        <v>26</v>
      </c>
      <c r="C32" s="94">
        <v>26</v>
      </c>
      <c r="D32" s="149" t="s">
        <v>437</v>
      </c>
      <c r="E32" s="94">
        <v>241</v>
      </c>
      <c r="F32" s="94" t="s">
        <v>13</v>
      </c>
      <c r="G32" s="94" t="s">
        <v>503</v>
      </c>
      <c r="H32" s="94" t="s">
        <v>13</v>
      </c>
    </row>
    <row r="33" spans="2:8">
      <c r="B33" s="145">
        <v>27</v>
      </c>
      <c r="C33" s="94">
        <v>27</v>
      </c>
      <c r="D33" s="149" t="s">
        <v>440</v>
      </c>
      <c r="E33" s="94">
        <v>75</v>
      </c>
      <c r="F33" s="94" t="s">
        <v>13</v>
      </c>
      <c r="G33" s="94">
        <v>75</v>
      </c>
      <c r="H33" s="94" t="s">
        <v>13</v>
      </c>
    </row>
    <row r="34" spans="2:8">
      <c r="B34" s="145">
        <v>28</v>
      </c>
      <c r="C34" s="94">
        <v>28</v>
      </c>
      <c r="D34" s="149" t="s">
        <v>444</v>
      </c>
      <c r="E34" s="94">
        <v>16500</v>
      </c>
      <c r="F34" s="94" t="s">
        <v>13</v>
      </c>
      <c r="G34" s="94">
        <v>16500</v>
      </c>
      <c r="H34" s="94" t="s">
        <v>13</v>
      </c>
    </row>
    <row r="35" spans="2:8">
      <c r="B35" s="145">
        <v>29</v>
      </c>
      <c r="C35" s="94">
        <v>29</v>
      </c>
      <c r="D35" s="149" t="s">
        <v>447</v>
      </c>
      <c r="E35" s="94">
        <v>12800</v>
      </c>
      <c r="F35" s="94"/>
      <c r="G35" s="94">
        <v>12800</v>
      </c>
      <c r="H35" s="94" t="s">
        <v>13</v>
      </c>
    </row>
    <row r="36" spans="2:8">
      <c r="B36" s="145">
        <v>30</v>
      </c>
      <c r="C36" s="94">
        <v>30</v>
      </c>
      <c r="D36" s="149" t="s">
        <v>450</v>
      </c>
      <c r="E36" s="94">
        <v>1250</v>
      </c>
      <c r="F36" s="94" t="s">
        <v>13</v>
      </c>
      <c r="G36" s="94">
        <v>1250</v>
      </c>
      <c r="H36" s="94" t="s">
        <v>13</v>
      </c>
    </row>
    <row r="37" spans="2:8">
      <c r="B37" s="145">
        <v>31</v>
      </c>
      <c r="C37" s="94">
        <v>31</v>
      </c>
      <c r="D37" s="149" t="s">
        <v>453</v>
      </c>
      <c r="E37" s="94">
        <v>1000</v>
      </c>
      <c r="F37" s="94" t="s">
        <v>13</v>
      </c>
      <c r="G37" s="94">
        <v>1000</v>
      </c>
      <c r="H37" s="94" t="s">
        <v>13</v>
      </c>
    </row>
    <row r="38" spans="2:8">
      <c r="B38" s="145">
        <v>32</v>
      </c>
      <c r="C38" s="94">
        <v>32</v>
      </c>
      <c r="D38" s="149" t="s">
        <v>456</v>
      </c>
      <c r="E38" s="94">
        <v>2090.5500000000002</v>
      </c>
      <c r="F38" s="94" t="s">
        <v>13</v>
      </c>
      <c r="G38" s="94">
        <v>2090.5500000000002</v>
      </c>
      <c r="H38" s="94" t="s">
        <v>13</v>
      </c>
    </row>
    <row r="39" spans="2:8">
      <c r="B39" s="145">
        <v>33</v>
      </c>
      <c r="C39" s="94">
        <v>33</v>
      </c>
      <c r="D39" s="149" t="s">
        <v>460</v>
      </c>
      <c r="E39" s="94">
        <v>1621.76</v>
      </c>
      <c r="F39" s="94" t="s">
        <v>13</v>
      </c>
      <c r="G39" s="94">
        <v>1621.76</v>
      </c>
      <c r="H39" s="94" t="s">
        <v>13</v>
      </c>
    </row>
    <row r="40" spans="2:8">
      <c r="B40" s="145">
        <v>34</v>
      </c>
      <c r="C40" s="94">
        <v>34</v>
      </c>
      <c r="D40" s="149" t="s">
        <v>464</v>
      </c>
      <c r="E40" s="190"/>
      <c r="F40" s="145">
        <v>5127.5</v>
      </c>
      <c r="G40" s="190"/>
      <c r="H40" s="145">
        <v>5127.5</v>
      </c>
    </row>
    <row r="41" spans="2:8">
      <c r="B41" s="145">
        <v>35</v>
      </c>
      <c r="C41" s="94">
        <v>35</v>
      </c>
      <c r="D41" s="149" t="s">
        <v>469</v>
      </c>
      <c r="E41" s="93">
        <v>6000</v>
      </c>
      <c r="F41" s="94" t="s">
        <v>13</v>
      </c>
      <c r="G41" s="93">
        <v>6000</v>
      </c>
      <c r="H41" s="94" t="s">
        <v>13</v>
      </c>
    </row>
    <row r="42" spans="2:8">
      <c r="B42" s="145">
        <v>36</v>
      </c>
      <c r="C42" s="94">
        <v>36</v>
      </c>
      <c r="D42" s="149" t="s">
        <v>473</v>
      </c>
      <c r="E42" s="94">
        <v>621.6</v>
      </c>
      <c r="F42" s="94" t="s">
        <v>13</v>
      </c>
      <c r="G42" s="94">
        <v>621.6</v>
      </c>
      <c r="H42" s="94" t="s">
        <v>13</v>
      </c>
    </row>
    <row r="43" spans="2:8">
      <c r="D43" s="152" t="s">
        <v>504</v>
      </c>
      <c r="E43" s="153">
        <v>355267.07</v>
      </c>
      <c r="F43" s="154">
        <v>355267.07</v>
      </c>
      <c r="G43" s="155">
        <v>242090.96</v>
      </c>
      <c r="H43" s="155">
        <v>242090.96</v>
      </c>
    </row>
  </sheetData>
  <mergeCells count="6">
    <mergeCell ref="E5:F5"/>
    <mergeCell ref="G5:H5"/>
    <mergeCell ref="B2:H2"/>
    <mergeCell ref="B3:H3"/>
    <mergeCell ref="B5:B6"/>
    <mergeCell ref="C5:C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4CA89-F307-4738-B5D1-C3FFB5AF0F01}">
  <dimension ref="A1:R49"/>
  <sheetViews>
    <sheetView workbookViewId="0">
      <selection activeCell="M15" sqref="M15"/>
    </sheetView>
  </sheetViews>
  <sheetFormatPr defaultRowHeight="15"/>
  <cols>
    <col min="2" max="2" width="36.5703125" bestFit="1" customWidth="1"/>
    <col min="3" max="3" width="12" bestFit="1" customWidth="1"/>
    <col min="4" max="4" width="10.42578125" bestFit="1" customWidth="1"/>
    <col min="12" max="12" width="10.42578125" bestFit="1" customWidth="1"/>
  </cols>
  <sheetData>
    <row r="1" spans="1:18">
      <c r="A1" s="190"/>
      <c r="B1" s="216" t="s">
        <v>505</v>
      </c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</row>
    <row r="2" spans="1:18">
      <c r="A2" s="190"/>
      <c r="B2" s="216" t="s">
        <v>506</v>
      </c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</row>
    <row r="3" spans="1:18">
      <c r="A3" s="190"/>
      <c r="B3" s="216" t="s">
        <v>507</v>
      </c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</row>
    <row r="4" spans="1:18">
      <c r="A4" s="190" t="s">
        <v>508</v>
      </c>
      <c r="B4" s="192" t="s">
        <v>509</v>
      </c>
      <c r="C4" s="219" t="s">
        <v>510</v>
      </c>
      <c r="D4" s="219"/>
      <c r="E4" s="190"/>
      <c r="F4" s="210" t="s">
        <v>511</v>
      </c>
      <c r="G4" s="210"/>
      <c r="H4" s="210"/>
      <c r="I4" s="220" t="s">
        <v>512</v>
      </c>
      <c r="J4" s="220"/>
      <c r="K4" s="210" t="s">
        <v>513</v>
      </c>
      <c r="L4" s="210"/>
      <c r="M4" s="220" t="s">
        <v>514</v>
      </c>
      <c r="N4" s="220"/>
    </row>
    <row r="5" spans="1:18">
      <c r="A5" s="190"/>
      <c r="B5" s="165" t="s">
        <v>265</v>
      </c>
      <c r="C5" s="94" t="s">
        <v>483</v>
      </c>
      <c r="D5" s="94" t="s">
        <v>484</v>
      </c>
      <c r="E5" s="190"/>
      <c r="F5" s="190" t="s">
        <v>267</v>
      </c>
      <c r="G5" s="190"/>
      <c r="H5" s="190" t="s">
        <v>268</v>
      </c>
      <c r="I5" s="190" t="s">
        <v>267</v>
      </c>
      <c r="J5" s="190" t="s">
        <v>268</v>
      </c>
      <c r="K5" s="190" t="s">
        <v>515</v>
      </c>
      <c r="L5" s="190" t="s">
        <v>516</v>
      </c>
      <c r="M5" s="190" t="s">
        <v>3</v>
      </c>
      <c r="N5" s="190" t="s">
        <v>96</v>
      </c>
    </row>
    <row r="6" spans="1:18">
      <c r="A6" s="190">
        <v>1</v>
      </c>
      <c r="B6" s="97" t="s">
        <v>6</v>
      </c>
      <c r="C6" s="94">
        <v>500</v>
      </c>
      <c r="D6" s="94" t="s">
        <v>13</v>
      </c>
      <c r="E6" s="157"/>
      <c r="F6" s="157"/>
      <c r="G6" s="157"/>
      <c r="H6" s="157"/>
      <c r="I6" s="190"/>
      <c r="J6" s="188"/>
      <c r="K6" s="190"/>
      <c r="L6" s="190"/>
      <c r="M6" s="190"/>
      <c r="N6" s="190"/>
    </row>
    <row r="7" spans="1:18">
      <c r="A7" s="190">
        <v>2</v>
      </c>
      <c r="B7" s="97" t="s">
        <v>9</v>
      </c>
      <c r="C7" s="94">
        <v>107656.37</v>
      </c>
      <c r="D7" s="94" t="s">
        <v>13</v>
      </c>
      <c r="E7" s="185"/>
      <c r="F7" s="190"/>
      <c r="G7" s="157"/>
      <c r="H7" s="157"/>
      <c r="I7" s="190"/>
      <c r="J7" s="188"/>
      <c r="K7" s="190"/>
      <c r="L7" s="190"/>
      <c r="M7" s="190"/>
      <c r="N7" s="190"/>
    </row>
    <row r="8" spans="1:18">
      <c r="A8" s="190">
        <v>3</v>
      </c>
      <c r="B8" s="97" t="s">
        <v>129</v>
      </c>
      <c r="C8" s="94">
        <v>3748.98</v>
      </c>
      <c r="D8" s="94" t="s">
        <v>13</v>
      </c>
      <c r="E8" s="157"/>
      <c r="F8" s="157"/>
      <c r="G8" s="157"/>
      <c r="H8" s="157"/>
      <c r="I8" s="156" t="s">
        <v>13</v>
      </c>
      <c r="J8" s="188"/>
      <c r="K8" s="190"/>
      <c r="L8" s="190"/>
      <c r="M8" s="190"/>
      <c r="N8" s="190"/>
    </row>
    <row r="9" spans="1:18">
      <c r="A9" s="190">
        <v>4</v>
      </c>
      <c r="B9" s="97" t="s">
        <v>517</v>
      </c>
      <c r="C9" s="127" t="s">
        <v>518</v>
      </c>
      <c r="D9" s="145" t="s">
        <v>13</v>
      </c>
      <c r="E9" s="157"/>
      <c r="F9" s="157"/>
      <c r="G9" s="157"/>
      <c r="H9" s="157"/>
      <c r="I9" s="127" t="s">
        <v>13</v>
      </c>
      <c r="J9" s="188"/>
      <c r="K9" s="190"/>
      <c r="L9" s="190"/>
      <c r="M9" s="190"/>
      <c r="N9" s="190"/>
    </row>
    <row r="10" spans="1:18">
      <c r="A10" s="190">
        <v>5</v>
      </c>
      <c r="B10" s="166" t="s">
        <v>26</v>
      </c>
      <c r="C10" s="93">
        <v>414.4</v>
      </c>
      <c r="D10" s="94" t="s">
        <v>13</v>
      </c>
      <c r="E10" s="157"/>
      <c r="F10" s="157"/>
      <c r="G10" s="157"/>
      <c r="H10" s="157"/>
      <c r="I10" s="156" t="s">
        <v>13</v>
      </c>
      <c r="J10" s="188"/>
      <c r="K10" s="190"/>
      <c r="L10" s="190"/>
      <c r="M10" s="190"/>
      <c r="N10" s="190"/>
    </row>
    <row r="11" spans="1:18">
      <c r="A11" s="190">
        <v>6</v>
      </c>
      <c r="B11" s="165" t="s">
        <v>29</v>
      </c>
      <c r="C11" s="94">
        <v>14433</v>
      </c>
      <c r="D11" s="94" t="s">
        <v>13</v>
      </c>
      <c r="E11" s="157"/>
      <c r="F11" s="157"/>
      <c r="G11" s="157"/>
      <c r="H11" s="157"/>
      <c r="I11" s="145" t="s">
        <v>13</v>
      </c>
      <c r="J11" s="188"/>
      <c r="K11" s="190"/>
      <c r="L11" s="190"/>
      <c r="M11" s="190"/>
      <c r="N11" s="190"/>
    </row>
    <row r="12" spans="1:18">
      <c r="A12" s="190">
        <v>7</v>
      </c>
      <c r="B12" s="97" t="s">
        <v>519</v>
      </c>
      <c r="C12" s="94">
        <v>4705</v>
      </c>
      <c r="D12" s="94" t="s">
        <v>13</v>
      </c>
      <c r="E12" s="157"/>
      <c r="F12" s="157"/>
      <c r="G12" s="157"/>
      <c r="H12" s="157"/>
      <c r="I12" s="145" t="s">
        <v>13</v>
      </c>
      <c r="J12" s="188"/>
      <c r="K12" s="190"/>
      <c r="L12" s="190"/>
      <c r="M12" s="190"/>
      <c r="N12" s="190"/>
    </row>
    <row r="13" spans="1:18">
      <c r="A13" s="190">
        <v>8</v>
      </c>
      <c r="B13" s="97" t="s">
        <v>520</v>
      </c>
      <c r="C13" s="94">
        <v>2750</v>
      </c>
      <c r="D13" s="94" t="s">
        <v>13</v>
      </c>
      <c r="E13" s="157"/>
      <c r="F13" s="157"/>
      <c r="G13" s="157"/>
      <c r="H13" s="157"/>
      <c r="I13" s="145" t="s">
        <v>13</v>
      </c>
      <c r="J13" s="188"/>
      <c r="K13" s="190"/>
      <c r="L13" s="190"/>
      <c r="M13" s="190"/>
      <c r="N13" s="190"/>
      <c r="R13">
        <v>721.65</v>
      </c>
    </row>
    <row r="14" spans="1:18">
      <c r="A14" s="190">
        <v>9</v>
      </c>
      <c r="B14" s="97" t="s">
        <v>35</v>
      </c>
      <c r="C14" s="190"/>
      <c r="D14" s="145">
        <v>16980.8</v>
      </c>
      <c r="E14" s="157"/>
      <c r="F14" s="157"/>
      <c r="G14" s="157"/>
      <c r="H14" s="157"/>
      <c r="I14" s="190"/>
      <c r="J14" s="158" t="s">
        <v>13</v>
      </c>
      <c r="K14" s="190"/>
      <c r="L14" s="190"/>
      <c r="M14" s="190"/>
      <c r="N14" s="190"/>
    </row>
    <row r="15" spans="1:18">
      <c r="A15" s="190">
        <v>10</v>
      </c>
      <c r="B15" s="97" t="s">
        <v>521</v>
      </c>
      <c r="C15" s="93" t="s">
        <v>13</v>
      </c>
      <c r="D15" s="94">
        <v>2000</v>
      </c>
      <c r="E15" s="157"/>
      <c r="F15" s="157"/>
      <c r="G15" s="190"/>
      <c r="H15" s="190"/>
      <c r="I15" s="190"/>
      <c r="J15" s="188"/>
      <c r="K15" s="190"/>
      <c r="L15" s="190"/>
      <c r="M15" s="190"/>
      <c r="N15" s="190"/>
    </row>
    <row r="16" spans="1:18">
      <c r="A16" s="190">
        <v>11</v>
      </c>
      <c r="B16" s="97" t="s">
        <v>369</v>
      </c>
      <c r="C16" s="94" t="s">
        <v>13</v>
      </c>
      <c r="D16" s="94">
        <v>721.65</v>
      </c>
      <c r="E16" s="157"/>
      <c r="F16" s="157"/>
      <c r="G16" s="157"/>
      <c r="H16" s="157"/>
      <c r="I16" s="190"/>
      <c r="J16" s="158" t="s">
        <v>13</v>
      </c>
      <c r="K16" s="190"/>
      <c r="L16" s="190"/>
      <c r="M16" s="190"/>
      <c r="N16" s="190"/>
    </row>
    <row r="17" spans="1:14" ht="30.75">
      <c r="A17" s="190">
        <v>12</v>
      </c>
      <c r="B17" s="97" t="s">
        <v>373</v>
      </c>
      <c r="C17" s="94" t="s">
        <v>13</v>
      </c>
      <c r="D17" s="94">
        <v>70</v>
      </c>
      <c r="E17" s="157"/>
      <c r="F17" s="157"/>
      <c r="G17" s="157"/>
      <c r="H17" s="157"/>
      <c r="I17" s="190"/>
      <c r="J17" s="159" t="s">
        <v>13</v>
      </c>
      <c r="K17" s="190"/>
      <c r="L17" s="190"/>
      <c r="M17" s="190"/>
      <c r="N17" s="190"/>
    </row>
    <row r="18" spans="1:14" ht="30.75">
      <c r="A18" s="190">
        <v>13</v>
      </c>
      <c r="B18" s="97" t="s">
        <v>377</v>
      </c>
      <c r="C18" s="94" t="s">
        <v>13</v>
      </c>
      <c r="D18" s="94">
        <v>168</v>
      </c>
      <c r="E18" s="157"/>
      <c r="F18" s="157"/>
      <c r="G18" s="157"/>
      <c r="H18" s="157"/>
      <c r="I18" s="190"/>
      <c r="J18" s="159" t="s">
        <v>13</v>
      </c>
      <c r="K18" s="190"/>
      <c r="L18" s="190"/>
      <c r="M18" s="190"/>
      <c r="N18" s="190"/>
    </row>
    <row r="19" spans="1:14">
      <c r="A19" s="190">
        <v>14</v>
      </c>
      <c r="B19" s="97" t="s">
        <v>50</v>
      </c>
      <c r="C19" s="94" t="s">
        <v>13</v>
      </c>
      <c r="D19" s="94">
        <v>166173.01</v>
      </c>
      <c r="E19" s="157"/>
      <c r="F19" s="157"/>
      <c r="G19" s="157"/>
      <c r="H19" s="157"/>
      <c r="I19" s="190"/>
      <c r="J19" s="159" t="s">
        <v>13</v>
      </c>
      <c r="K19" s="190"/>
      <c r="L19" s="190"/>
      <c r="M19" s="190"/>
      <c r="N19" s="190"/>
    </row>
    <row r="20" spans="1:14">
      <c r="A20" s="190">
        <v>15</v>
      </c>
      <c r="B20" s="97" t="s">
        <v>234</v>
      </c>
      <c r="C20" s="94" t="s">
        <v>13</v>
      </c>
      <c r="D20" s="94">
        <v>43400</v>
      </c>
      <c r="E20" s="157"/>
      <c r="F20" s="157"/>
      <c r="G20" s="157"/>
      <c r="H20" s="157"/>
      <c r="I20" s="190"/>
      <c r="J20" s="159" t="s">
        <v>13</v>
      </c>
      <c r="K20" s="190"/>
      <c r="L20" s="156" t="s">
        <v>13</v>
      </c>
      <c r="M20" s="190"/>
      <c r="N20" s="190"/>
    </row>
    <row r="21" spans="1:14">
      <c r="A21" s="190">
        <v>16</v>
      </c>
      <c r="B21" s="97" t="s">
        <v>228</v>
      </c>
      <c r="C21" s="94">
        <v>3440.7</v>
      </c>
      <c r="D21" s="94" t="s">
        <v>13</v>
      </c>
      <c r="E21" s="157"/>
      <c r="F21" s="157"/>
      <c r="G21" s="157"/>
      <c r="H21" s="157"/>
      <c r="I21" s="156" t="s">
        <v>13</v>
      </c>
      <c r="J21" s="160" t="s">
        <v>13</v>
      </c>
      <c r="K21" s="190"/>
      <c r="L21" s="190"/>
      <c r="M21" s="156" t="s">
        <v>13</v>
      </c>
      <c r="N21" s="190"/>
    </row>
    <row r="22" spans="1:14" ht="30.75">
      <c r="A22" s="190">
        <v>17</v>
      </c>
      <c r="B22" s="97" t="s">
        <v>401</v>
      </c>
      <c r="C22" s="94">
        <v>830.5</v>
      </c>
      <c r="D22" s="94" t="s">
        <v>13</v>
      </c>
      <c r="E22" s="157"/>
      <c r="F22" s="157"/>
      <c r="G22" s="157"/>
      <c r="H22" s="157"/>
      <c r="I22" s="145" t="s">
        <v>13</v>
      </c>
      <c r="J22" s="157"/>
      <c r="K22" s="156" t="s">
        <v>13</v>
      </c>
      <c r="L22" s="190"/>
      <c r="M22" s="190"/>
      <c r="N22" s="190"/>
    </row>
    <row r="23" spans="1:14" ht="30.75">
      <c r="A23" s="190">
        <v>18</v>
      </c>
      <c r="B23" s="97" t="s">
        <v>406</v>
      </c>
      <c r="C23" s="94">
        <v>5000</v>
      </c>
      <c r="D23" s="94" t="s">
        <v>13</v>
      </c>
      <c r="E23" s="157"/>
      <c r="F23" s="157"/>
      <c r="G23" s="157"/>
      <c r="H23" s="157"/>
      <c r="I23" s="145" t="s">
        <v>13</v>
      </c>
      <c r="J23" s="157"/>
      <c r="K23" s="190"/>
      <c r="L23" s="190"/>
      <c r="M23" s="190"/>
      <c r="N23" s="190"/>
    </row>
    <row r="24" spans="1:14">
      <c r="A24" s="190">
        <v>19</v>
      </c>
      <c r="B24" s="97" t="s">
        <v>522</v>
      </c>
      <c r="C24" s="94" t="s">
        <v>13</v>
      </c>
      <c r="D24" s="94">
        <v>6810</v>
      </c>
      <c r="E24" s="157"/>
      <c r="F24" s="157"/>
      <c r="G24" s="157"/>
      <c r="H24" s="157"/>
      <c r="I24" s="190"/>
      <c r="J24" s="156" t="s">
        <v>13</v>
      </c>
      <c r="K24" s="190"/>
      <c r="L24" s="190"/>
      <c r="M24" s="190"/>
      <c r="N24" s="190"/>
    </row>
    <row r="25" spans="1:14">
      <c r="A25" s="190">
        <v>20</v>
      </c>
      <c r="B25" s="97" t="s">
        <v>523</v>
      </c>
      <c r="C25" s="94">
        <v>5980</v>
      </c>
      <c r="D25" s="94" t="s">
        <v>13</v>
      </c>
      <c r="E25" s="157"/>
      <c r="F25" s="157"/>
      <c r="G25" s="157"/>
      <c r="H25" s="157"/>
      <c r="I25" s="156" t="s">
        <v>13</v>
      </c>
      <c r="J25" s="157"/>
      <c r="K25" s="156" t="s">
        <v>13</v>
      </c>
      <c r="L25" s="190"/>
      <c r="M25" s="190"/>
      <c r="N25" s="190"/>
    </row>
    <row r="26" spans="1:14">
      <c r="A26" s="190">
        <v>21</v>
      </c>
      <c r="B26" s="97" t="s">
        <v>524</v>
      </c>
      <c r="C26" s="94">
        <v>490</v>
      </c>
      <c r="D26" s="94" t="s">
        <v>13</v>
      </c>
      <c r="E26" s="157"/>
      <c r="F26" s="157"/>
      <c r="G26" s="157"/>
      <c r="H26" s="157"/>
      <c r="I26" s="145" t="s">
        <v>13</v>
      </c>
      <c r="J26" s="157"/>
      <c r="K26" s="145" t="s">
        <v>13</v>
      </c>
      <c r="L26" s="190"/>
      <c r="M26" s="190"/>
      <c r="N26" s="190"/>
    </row>
    <row r="27" spans="1:14">
      <c r="A27" s="190">
        <v>22</v>
      </c>
      <c r="B27" s="97" t="s">
        <v>200</v>
      </c>
      <c r="C27" s="94" t="s">
        <v>13</v>
      </c>
      <c r="D27" s="94">
        <v>640</v>
      </c>
      <c r="E27" s="157"/>
      <c r="F27" s="157"/>
      <c r="G27" s="157"/>
      <c r="H27" s="157"/>
      <c r="I27" s="190"/>
      <c r="J27" s="158" t="s">
        <v>13</v>
      </c>
      <c r="K27" s="190"/>
      <c r="L27" s="156" t="s">
        <v>13</v>
      </c>
      <c r="M27" s="190"/>
      <c r="N27" s="190"/>
    </row>
    <row r="28" spans="1:14">
      <c r="A28" s="190">
        <v>23</v>
      </c>
      <c r="B28" s="97" t="s">
        <v>431</v>
      </c>
      <c r="C28" s="94">
        <v>174.6</v>
      </c>
      <c r="D28" s="94" t="s">
        <v>13</v>
      </c>
      <c r="E28" s="157"/>
      <c r="F28" s="157"/>
      <c r="G28" s="157"/>
      <c r="H28" s="157"/>
      <c r="I28" s="156" t="s">
        <v>13</v>
      </c>
      <c r="J28" s="157"/>
      <c r="K28" s="190"/>
      <c r="L28" s="190"/>
      <c r="M28" s="190"/>
      <c r="N28" s="190"/>
    </row>
    <row r="29" spans="1:14">
      <c r="A29" s="190">
        <v>24</v>
      </c>
      <c r="B29" s="97" t="s">
        <v>525</v>
      </c>
      <c r="C29" s="94">
        <v>241</v>
      </c>
      <c r="D29" s="94" t="s">
        <v>13</v>
      </c>
      <c r="E29" s="157"/>
      <c r="F29" s="157"/>
      <c r="G29" s="157"/>
      <c r="H29" s="157"/>
      <c r="I29" s="145" t="s">
        <v>13</v>
      </c>
      <c r="J29" s="157"/>
      <c r="K29" s="190"/>
      <c r="L29" s="190"/>
      <c r="M29" s="190"/>
      <c r="N29" s="190"/>
    </row>
    <row r="30" spans="1:14">
      <c r="A30" s="190">
        <v>25</v>
      </c>
      <c r="B30" s="97" t="s">
        <v>440</v>
      </c>
      <c r="C30" s="94">
        <v>75</v>
      </c>
      <c r="D30" s="94" t="s">
        <v>13</v>
      </c>
      <c r="E30" s="157"/>
      <c r="F30" s="157"/>
      <c r="G30" s="157"/>
      <c r="H30" s="157"/>
      <c r="I30" s="145" t="s">
        <v>13</v>
      </c>
      <c r="J30" s="157"/>
      <c r="K30" s="190"/>
      <c r="L30" s="190"/>
      <c r="M30" s="190"/>
      <c r="N30" s="190"/>
    </row>
    <row r="31" spans="1:14">
      <c r="A31" s="190">
        <v>26</v>
      </c>
      <c r="B31" s="97" t="s">
        <v>444</v>
      </c>
      <c r="C31" s="94">
        <v>16500</v>
      </c>
      <c r="D31" s="94" t="s">
        <v>13</v>
      </c>
      <c r="E31" s="157"/>
      <c r="F31" s="157"/>
      <c r="G31" s="157"/>
      <c r="H31" s="157"/>
      <c r="I31" s="145" t="s">
        <v>13</v>
      </c>
      <c r="J31" s="157"/>
      <c r="K31" s="156" t="s">
        <v>13</v>
      </c>
      <c r="L31" s="190"/>
      <c r="M31" s="190"/>
      <c r="N31" s="190"/>
    </row>
    <row r="32" spans="1:14">
      <c r="A32" s="190">
        <v>27</v>
      </c>
      <c r="B32" s="97" t="s">
        <v>447</v>
      </c>
      <c r="C32" s="94">
        <v>12800</v>
      </c>
      <c r="D32" s="94" t="s">
        <v>13</v>
      </c>
      <c r="E32" s="157"/>
      <c r="F32" s="157"/>
      <c r="G32" s="157"/>
      <c r="H32" s="157"/>
      <c r="I32" s="145" t="s">
        <v>13</v>
      </c>
      <c r="J32" s="157"/>
      <c r="K32" s="145" t="s">
        <v>13</v>
      </c>
      <c r="L32" s="190"/>
      <c r="M32" s="190"/>
      <c r="N32" s="190"/>
    </row>
    <row r="33" spans="1:14">
      <c r="A33" s="190">
        <v>28</v>
      </c>
      <c r="B33" s="97" t="s">
        <v>450</v>
      </c>
      <c r="C33" s="94">
        <v>1250</v>
      </c>
      <c r="D33" s="94" t="s">
        <v>13</v>
      </c>
      <c r="E33" s="157"/>
      <c r="F33" s="157"/>
      <c r="G33" s="157"/>
      <c r="H33" s="157"/>
      <c r="I33" s="145" t="s">
        <v>13</v>
      </c>
      <c r="J33" s="157"/>
      <c r="K33" s="145" t="s">
        <v>13</v>
      </c>
      <c r="L33" s="190"/>
      <c r="M33" s="190"/>
      <c r="N33" s="190"/>
    </row>
    <row r="34" spans="1:14" ht="30.75">
      <c r="A34" s="190">
        <v>29</v>
      </c>
      <c r="B34" s="97" t="s">
        <v>453</v>
      </c>
      <c r="C34" s="94">
        <v>1000</v>
      </c>
      <c r="D34" s="94" t="s">
        <v>13</v>
      </c>
      <c r="E34" s="157"/>
      <c r="F34" s="157"/>
      <c r="G34" s="157"/>
      <c r="H34" s="157"/>
      <c r="I34" s="145" t="s">
        <v>13</v>
      </c>
      <c r="J34" s="157"/>
      <c r="K34" s="145" t="s">
        <v>13</v>
      </c>
      <c r="L34" s="190"/>
      <c r="M34" s="190"/>
      <c r="N34" s="190"/>
    </row>
    <row r="35" spans="1:14">
      <c r="A35" s="190">
        <v>30</v>
      </c>
      <c r="B35" s="97" t="s">
        <v>456</v>
      </c>
      <c r="C35" s="94">
        <v>2090.5500000000002</v>
      </c>
      <c r="D35" s="94" t="s">
        <v>13</v>
      </c>
      <c r="E35" s="157"/>
      <c r="F35" s="157"/>
      <c r="G35" s="157"/>
      <c r="H35" s="157"/>
      <c r="I35" s="145" t="s">
        <v>13</v>
      </c>
      <c r="J35" s="157"/>
      <c r="K35" s="145" t="s">
        <v>13</v>
      </c>
      <c r="L35" s="190"/>
      <c r="M35" s="190"/>
      <c r="N35" s="190"/>
    </row>
    <row r="36" spans="1:14">
      <c r="A36" s="190">
        <v>31</v>
      </c>
      <c r="B36" s="97" t="s">
        <v>460</v>
      </c>
      <c r="C36" s="94">
        <v>1621.76</v>
      </c>
      <c r="D36" s="94" t="s">
        <v>13</v>
      </c>
      <c r="E36" s="157"/>
      <c r="F36" s="157"/>
      <c r="G36" s="157"/>
      <c r="H36" s="157"/>
      <c r="I36" s="145" t="s">
        <v>13</v>
      </c>
      <c r="J36" s="157"/>
      <c r="K36" s="145" t="s">
        <v>13</v>
      </c>
      <c r="L36" s="190"/>
      <c r="M36" s="190"/>
      <c r="N36" s="190"/>
    </row>
    <row r="37" spans="1:14">
      <c r="A37" s="190">
        <v>32</v>
      </c>
      <c r="B37" s="97" t="s">
        <v>464</v>
      </c>
      <c r="C37" s="190"/>
      <c r="D37" s="145">
        <v>5127.5</v>
      </c>
      <c r="E37" s="157"/>
      <c r="F37" s="157"/>
      <c r="G37" s="157"/>
      <c r="H37" s="157"/>
      <c r="I37" s="190"/>
      <c r="J37" s="158" t="s">
        <v>13</v>
      </c>
      <c r="K37" s="190"/>
      <c r="L37" s="190"/>
      <c r="M37" s="190"/>
      <c r="N37" s="156" t="s">
        <v>13</v>
      </c>
    </row>
    <row r="38" spans="1:14">
      <c r="A38" s="190">
        <v>33</v>
      </c>
      <c r="B38" s="97" t="s">
        <v>469</v>
      </c>
      <c r="C38" s="93">
        <v>6000</v>
      </c>
      <c r="D38" s="94" t="s">
        <v>13</v>
      </c>
      <c r="E38" s="157"/>
      <c r="F38" s="157"/>
      <c r="G38" s="157"/>
      <c r="H38" s="157"/>
      <c r="I38" s="156" t="s">
        <v>13</v>
      </c>
      <c r="J38" s="157"/>
      <c r="K38" s="190"/>
      <c r="L38" s="190"/>
      <c r="M38" s="156" t="s">
        <v>13</v>
      </c>
      <c r="N38" s="190"/>
    </row>
    <row r="39" spans="1:14">
      <c r="A39" s="190">
        <v>34</v>
      </c>
      <c r="B39" s="97" t="s">
        <v>473</v>
      </c>
      <c r="C39" s="94">
        <v>621.6</v>
      </c>
      <c r="D39" s="94" t="s">
        <v>13</v>
      </c>
      <c r="E39" s="157"/>
      <c r="F39" s="157"/>
      <c r="G39" s="157"/>
      <c r="H39" s="157"/>
      <c r="I39" s="145" t="s">
        <v>13</v>
      </c>
      <c r="J39" s="157"/>
      <c r="K39" s="156" t="s">
        <v>13</v>
      </c>
      <c r="L39" s="190"/>
      <c r="M39" s="190"/>
      <c r="N39" s="190"/>
    </row>
    <row r="40" spans="1:14">
      <c r="A40" s="190">
        <v>36</v>
      </c>
      <c r="B40" s="166" t="s">
        <v>526</v>
      </c>
      <c r="C40" s="157"/>
      <c r="D40" s="157"/>
      <c r="E40" s="161"/>
      <c r="F40" s="190"/>
      <c r="G40" s="157"/>
      <c r="H40" s="157"/>
      <c r="I40" s="190"/>
      <c r="J40" s="157"/>
      <c r="K40" s="190"/>
      <c r="L40" s="190"/>
      <c r="M40" s="190"/>
      <c r="N40" s="190"/>
    </row>
    <row r="41" spans="1:14">
      <c r="A41" s="190">
        <v>37</v>
      </c>
      <c r="B41" s="166" t="s">
        <v>527</v>
      </c>
      <c r="C41" s="157"/>
      <c r="D41" s="157"/>
      <c r="E41" s="157"/>
      <c r="F41" s="157"/>
      <c r="G41" s="161"/>
      <c r="H41" s="190"/>
      <c r="I41" s="190"/>
      <c r="J41" s="188"/>
      <c r="K41" s="190"/>
      <c r="L41" s="190"/>
      <c r="M41" s="162" t="s">
        <v>13</v>
      </c>
      <c r="N41" s="190"/>
    </row>
    <row r="42" spans="1:14">
      <c r="A42" s="190">
        <v>38</v>
      </c>
      <c r="B42" s="193" t="s">
        <v>528</v>
      </c>
      <c r="C42" s="157"/>
      <c r="D42" s="157"/>
      <c r="E42" s="161"/>
      <c r="F42" s="190"/>
      <c r="G42" s="157"/>
      <c r="H42" s="157"/>
      <c r="I42" s="190"/>
      <c r="J42" s="157"/>
      <c r="K42" s="190"/>
      <c r="L42" s="190"/>
      <c r="M42" s="190"/>
      <c r="N42" s="190"/>
    </row>
    <row r="43" spans="1:14">
      <c r="A43" s="190">
        <v>39</v>
      </c>
      <c r="B43" s="193" t="s">
        <v>529</v>
      </c>
      <c r="C43" s="157"/>
      <c r="D43" s="157"/>
      <c r="E43" s="157"/>
      <c r="F43" s="157"/>
      <c r="G43" s="161"/>
      <c r="H43" s="190"/>
      <c r="I43" s="190"/>
      <c r="J43" s="188"/>
      <c r="K43" s="190"/>
      <c r="L43" s="190"/>
      <c r="M43" s="190"/>
      <c r="N43" s="190"/>
    </row>
    <row r="44" spans="1:14">
      <c r="A44" s="190">
        <v>40</v>
      </c>
      <c r="B44" s="193" t="s">
        <v>530</v>
      </c>
      <c r="C44" s="157"/>
      <c r="D44" s="157"/>
      <c r="E44" s="161"/>
      <c r="F44" s="190"/>
      <c r="G44" s="157"/>
      <c r="H44" s="157"/>
      <c r="I44" s="190"/>
      <c r="J44" s="157"/>
      <c r="K44" s="190"/>
      <c r="L44" s="190"/>
      <c r="M44" s="190"/>
      <c r="N44" s="190"/>
    </row>
    <row r="45" spans="1:14" ht="30.75">
      <c r="A45" s="190">
        <v>41</v>
      </c>
      <c r="B45" s="193" t="s">
        <v>531</v>
      </c>
      <c r="C45" s="157"/>
      <c r="D45" s="157"/>
      <c r="E45" s="157"/>
      <c r="F45" s="157"/>
      <c r="G45" s="161"/>
      <c r="H45" s="190"/>
      <c r="I45" s="190"/>
      <c r="J45" s="188"/>
      <c r="K45" s="190"/>
      <c r="L45" s="190"/>
      <c r="M45" s="190"/>
      <c r="N45" s="190"/>
    </row>
    <row r="46" spans="1:14">
      <c r="A46" s="190"/>
      <c r="B46" s="193"/>
      <c r="C46" s="188"/>
      <c r="D46" s="188"/>
      <c r="E46" s="157"/>
      <c r="F46" s="190"/>
      <c r="G46" s="190"/>
      <c r="H46" s="190"/>
      <c r="I46" s="190"/>
      <c r="J46" s="163" t="s">
        <v>13</v>
      </c>
      <c r="K46" s="190"/>
      <c r="L46" s="190"/>
      <c r="M46" s="190"/>
      <c r="N46" s="190"/>
    </row>
    <row r="47" spans="1:14">
      <c r="A47" s="190"/>
      <c r="B47" s="193" t="s">
        <v>532</v>
      </c>
      <c r="C47" s="157"/>
      <c r="D47" s="157"/>
      <c r="E47" s="157"/>
      <c r="F47" s="157"/>
      <c r="G47" s="157"/>
      <c r="H47" s="157"/>
      <c r="I47" s="190"/>
      <c r="J47" s="157"/>
      <c r="K47" s="190"/>
      <c r="L47" s="190"/>
      <c r="M47" s="190"/>
      <c r="N47" s="190"/>
    </row>
    <row r="48" spans="1:14" ht="30.75">
      <c r="A48" s="190"/>
      <c r="B48" s="193" t="s">
        <v>533</v>
      </c>
      <c r="C48" s="157"/>
      <c r="D48" s="157"/>
      <c r="E48" s="157"/>
      <c r="F48" s="157"/>
      <c r="G48" s="157"/>
      <c r="H48" s="157"/>
      <c r="I48" s="190"/>
      <c r="J48" s="157"/>
      <c r="K48" s="190"/>
      <c r="L48" s="190"/>
      <c r="M48" s="190"/>
      <c r="N48" s="190"/>
    </row>
    <row r="49" spans="1:14">
      <c r="A49" s="190"/>
      <c r="B49" s="193"/>
      <c r="C49" s="157"/>
      <c r="D49" s="157"/>
      <c r="E49" s="157"/>
      <c r="F49" s="157"/>
      <c r="G49" s="157"/>
      <c r="H49" s="157"/>
      <c r="I49" s="190"/>
      <c r="J49" s="157"/>
      <c r="K49" s="190"/>
      <c r="L49" s="190"/>
      <c r="M49" s="164" t="s">
        <v>13</v>
      </c>
      <c r="N49" s="164" t="s">
        <v>13</v>
      </c>
    </row>
  </sheetData>
  <mergeCells count="8">
    <mergeCell ref="B1:N1"/>
    <mergeCell ref="B2:N2"/>
    <mergeCell ref="B3:N3"/>
    <mergeCell ref="C4:D4"/>
    <mergeCell ref="F4:H4"/>
    <mergeCell ref="I4:J4"/>
    <mergeCell ref="K4:L4"/>
    <mergeCell ref="M4:N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B2CD-B816-4142-B43C-74EF00C1CEA9}">
  <dimension ref="A1:U70"/>
  <sheetViews>
    <sheetView tabSelected="1" topLeftCell="A35" workbookViewId="0">
      <selection activeCell="U2" sqref="U2"/>
    </sheetView>
  </sheetViews>
  <sheetFormatPr defaultRowHeight="15"/>
  <cols>
    <col min="2" max="2" width="36.5703125" bestFit="1" customWidth="1"/>
    <col min="3" max="3" width="12" bestFit="1" customWidth="1"/>
    <col min="4" max="4" width="10.42578125" bestFit="1" customWidth="1"/>
    <col min="5" max="5" width="3.5703125" customWidth="1"/>
    <col min="7" max="7" width="2.5703125" customWidth="1"/>
    <col min="9" max="9" width="12" bestFit="1" customWidth="1"/>
    <col min="10" max="10" width="10.140625" bestFit="1" customWidth="1"/>
    <col min="11" max="11" width="9.5703125" bestFit="1" customWidth="1"/>
    <col min="12" max="12" width="10.42578125" bestFit="1" customWidth="1"/>
    <col min="17" max="17" width="21.5703125" bestFit="1" customWidth="1"/>
    <col min="19" max="19" width="15.5703125" bestFit="1" customWidth="1"/>
  </cols>
  <sheetData>
    <row r="1" spans="1:21">
      <c r="A1" s="190"/>
      <c r="B1" s="196" t="s">
        <v>505</v>
      </c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0"/>
      <c r="P1" s="190"/>
      <c r="Q1" s="195" t="s">
        <v>534</v>
      </c>
      <c r="R1" s="195"/>
      <c r="S1" s="190" t="s">
        <v>535</v>
      </c>
      <c r="T1" s="190"/>
    </row>
    <row r="2" spans="1:21">
      <c r="A2" s="190"/>
      <c r="B2" s="196" t="s">
        <v>506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0"/>
      <c r="P2" s="190"/>
      <c r="Q2" s="190" t="s">
        <v>79</v>
      </c>
      <c r="R2" s="156">
        <v>14433</v>
      </c>
      <c r="S2" s="190" t="s">
        <v>370</v>
      </c>
      <c r="T2" s="190" t="s">
        <v>536</v>
      </c>
      <c r="U2">
        <v>2742.27</v>
      </c>
    </row>
    <row r="3" spans="1:21">
      <c r="A3" s="190"/>
      <c r="B3" s="196" t="s">
        <v>507</v>
      </c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0"/>
      <c r="P3" s="190"/>
      <c r="Q3" s="156" t="s">
        <v>519</v>
      </c>
      <c r="R3" s="94">
        <v>4705</v>
      </c>
      <c r="S3" s="190" t="s">
        <v>537</v>
      </c>
      <c r="T3" s="190" t="s">
        <v>538</v>
      </c>
    </row>
    <row r="4" spans="1:21">
      <c r="A4" s="190" t="s">
        <v>508</v>
      </c>
      <c r="B4" s="186" t="s">
        <v>509</v>
      </c>
      <c r="C4" s="197" t="s">
        <v>510</v>
      </c>
      <c r="D4" s="197"/>
      <c r="E4" s="188"/>
      <c r="F4" s="198" t="s">
        <v>511</v>
      </c>
      <c r="G4" s="198"/>
      <c r="H4" s="198"/>
      <c r="I4" s="199" t="s">
        <v>512</v>
      </c>
      <c r="J4" s="199"/>
      <c r="K4" s="198" t="s">
        <v>513</v>
      </c>
      <c r="L4" s="198"/>
      <c r="M4" s="199" t="s">
        <v>514</v>
      </c>
      <c r="N4" s="199"/>
      <c r="O4" s="190"/>
      <c r="P4" s="190"/>
      <c r="Q4" s="190"/>
      <c r="R4" s="190"/>
      <c r="S4" s="190"/>
      <c r="T4" s="190"/>
    </row>
    <row r="5" spans="1:21">
      <c r="A5" s="190"/>
      <c r="B5" s="175" t="s">
        <v>265</v>
      </c>
      <c r="C5" s="168" t="s">
        <v>483</v>
      </c>
      <c r="D5" s="168" t="s">
        <v>484</v>
      </c>
      <c r="E5" s="188"/>
      <c r="F5" s="188" t="s">
        <v>267</v>
      </c>
      <c r="G5" s="188"/>
      <c r="H5" s="188" t="s">
        <v>268</v>
      </c>
      <c r="I5" s="188" t="s">
        <v>267</v>
      </c>
      <c r="J5" s="188" t="s">
        <v>268</v>
      </c>
      <c r="K5" s="188" t="s">
        <v>515</v>
      </c>
      <c r="L5" s="188" t="s">
        <v>516</v>
      </c>
      <c r="M5" s="188" t="s">
        <v>3</v>
      </c>
      <c r="N5" s="188" t="s">
        <v>96</v>
      </c>
      <c r="O5" s="190"/>
      <c r="P5" s="190"/>
      <c r="Q5" s="194" t="s">
        <v>539</v>
      </c>
      <c r="R5" s="194"/>
      <c r="S5" s="190"/>
      <c r="T5" s="190"/>
    </row>
    <row r="6" spans="1:21">
      <c r="A6" s="190">
        <v>1</v>
      </c>
      <c r="B6" s="176" t="s">
        <v>6</v>
      </c>
      <c r="C6" s="168">
        <v>500</v>
      </c>
      <c r="D6" s="168" t="s">
        <v>13</v>
      </c>
      <c r="E6" s="188"/>
      <c r="F6" s="188"/>
      <c r="G6" s="188"/>
      <c r="H6" s="188"/>
      <c r="I6" s="188">
        <v>500</v>
      </c>
      <c r="J6" s="188"/>
      <c r="K6" s="188"/>
      <c r="L6" s="188"/>
      <c r="M6" s="188">
        <v>500</v>
      </c>
      <c r="N6" s="188"/>
      <c r="O6" s="157"/>
      <c r="P6" s="157"/>
      <c r="Q6" s="159" t="s">
        <v>520</v>
      </c>
      <c r="R6" s="168">
        <v>2750</v>
      </c>
      <c r="S6" s="188">
        <v>550</v>
      </c>
      <c r="T6" s="157"/>
    </row>
    <row r="7" spans="1:21">
      <c r="A7" s="190">
        <v>2</v>
      </c>
      <c r="B7" s="176" t="s">
        <v>9</v>
      </c>
      <c r="C7" s="168" t="s">
        <v>540</v>
      </c>
      <c r="D7" s="168" t="s">
        <v>13</v>
      </c>
      <c r="E7" s="167">
        <v>4</v>
      </c>
      <c r="F7" s="188">
        <v>1000</v>
      </c>
      <c r="G7" s="188"/>
      <c r="H7" s="188"/>
      <c r="I7" s="158" t="s">
        <v>541</v>
      </c>
      <c r="J7" s="188"/>
      <c r="K7" s="188"/>
      <c r="L7" s="188"/>
      <c r="M7" s="188">
        <v>108656.37</v>
      </c>
      <c r="N7" s="188"/>
      <c r="O7" s="157"/>
      <c r="P7" s="157"/>
      <c r="Q7" s="157"/>
      <c r="R7" s="157"/>
      <c r="S7" s="157"/>
      <c r="T7" s="157"/>
    </row>
    <row r="8" spans="1:21">
      <c r="A8" s="190">
        <v>3</v>
      </c>
      <c r="B8" s="176" t="s">
        <v>129</v>
      </c>
      <c r="C8" s="168" t="s">
        <v>542</v>
      </c>
      <c r="D8" s="168" t="s">
        <v>13</v>
      </c>
      <c r="E8" s="188"/>
      <c r="F8" s="188"/>
      <c r="G8" s="188"/>
      <c r="H8" s="188"/>
      <c r="I8" s="159" t="s">
        <v>540</v>
      </c>
      <c r="J8" s="188"/>
      <c r="K8" s="188"/>
      <c r="L8" s="188"/>
      <c r="M8" s="188">
        <v>3748.98</v>
      </c>
      <c r="N8" s="188"/>
      <c r="O8" s="157"/>
      <c r="P8" s="157"/>
      <c r="Q8" s="195" t="s">
        <v>543</v>
      </c>
      <c r="R8" s="195"/>
      <c r="S8" s="157"/>
      <c r="T8" s="157"/>
    </row>
    <row r="9" spans="1:21">
      <c r="A9" s="190">
        <v>4</v>
      </c>
      <c r="B9" s="176" t="s">
        <v>517</v>
      </c>
      <c r="C9" s="169" t="s">
        <v>518</v>
      </c>
      <c r="D9" s="159" t="s">
        <v>13</v>
      </c>
      <c r="E9" s="188"/>
      <c r="F9" s="188"/>
      <c r="G9" s="188"/>
      <c r="H9" s="188"/>
      <c r="I9" s="159" t="s">
        <v>542</v>
      </c>
      <c r="J9" s="188"/>
      <c r="K9" s="188">
        <v>49767.5</v>
      </c>
      <c r="L9" s="188">
        <v>6367.5</v>
      </c>
      <c r="M9" s="188">
        <v>6367.5</v>
      </c>
      <c r="N9" s="188"/>
      <c r="O9" s="170" t="s">
        <v>13</v>
      </c>
      <c r="P9" s="157"/>
      <c r="Q9" s="158" t="s">
        <v>544</v>
      </c>
      <c r="R9" s="188" t="s">
        <v>545</v>
      </c>
      <c r="S9" s="188" t="s">
        <v>546</v>
      </c>
      <c r="T9" s="157"/>
    </row>
    <row r="10" spans="1:21">
      <c r="A10" s="190">
        <v>5</v>
      </c>
      <c r="B10" s="177" t="s">
        <v>26</v>
      </c>
      <c r="C10" s="171" t="s">
        <v>547</v>
      </c>
      <c r="D10" s="168" t="s">
        <v>13</v>
      </c>
      <c r="E10" s="188"/>
      <c r="F10" s="188"/>
      <c r="G10" s="188"/>
      <c r="H10" s="188"/>
      <c r="I10" s="169" t="s">
        <v>518</v>
      </c>
      <c r="J10" s="188"/>
      <c r="K10" s="188"/>
      <c r="L10" s="188"/>
      <c r="M10" s="188">
        <v>414.4</v>
      </c>
      <c r="N10" s="188"/>
      <c r="O10" s="157"/>
      <c r="P10" s="157"/>
      <c r="Q10" s="190"/>
      <c r="R10" s="157"/>
      <c r="S10" s="157"/>
      <c r="T10" s="157"/>
    </row>
    <row r="11" spans="1:21">
      <c r="A11" s="190">
        <v>6</v>
      </c>
      <c r="B11" s="175" t="s">
        <v>29</v>
      </c>
      <c r="C11" s="168">
        <v>14433</v>
      </c>
      <c r="D11" s="168" t="s">
        <v>13</v>
      </c>
      <c r="E11" s="188"/>
      <c r="F11" s="188"/>
      <c r="G11" s="188"/>
      <c r="H11" s="188"/>
      <c r="I11" s="158" t="s">
        <v>547</v>
      </c>
      <c r="J11" s="188"/>
      <c r="K11" s="188"/>
      <c r="L11" s="188"/>
      <c r="M11" s="188">
        <v>14433</v>
      </c>
      <c r="N11" s="188"/>
      <c r="O11" s="157"/>
      <c r="P11" s="157"/>
      <c r="Q11" s="157"/>
      <c r="R11" s="157"/>
      <c r="S11" s="157"/>
      <c r="T11" s="157"/>
    </row>
    <row r="12" spans="1:21">
      <c r="A12" s="190">
        <v>7</v>
      </c>
      <c r="B12" s="176" t="s">
        <v>519</v>
      </c>
      <c r="C12" s="168">
        <v>4705</v>
      </c>
      <c r="D12" s="168" t="s">
        <v>13</v>
      </c>
      <c r="E12" s="188"/>
      <c r="F12" s="188"/>
      <c r="G12" s="188"/>
      <c r="H12" s="188"/>
      <c r="I12" s="159">
        <v>14433</v>
      </c>
      <c r="J12" s="188"/>
      <c r="K12" s="188"/>
      <c r="L12" s="188"/>
      <c r="M12" s="188">
        <v>4705</v>
      </c>
      <c r="N12" s="188"/>
      <c r="O12" s="157"/>
      <c r="P12" s="157"/>
      <c r="Q12" s="157"/>
      <c r="R12" s="157"/>
      <c r="S12" s="157"/>
      <c r="T12" s="157"/>
    </row>
    <row r="13" spans="1:21">
      <c r="A13" s="190">
        <v>8</v>
      </c>
      <c r="B13" s="176" t="s">
        <v>520</v>
      </c>
      <c r="C13" s="168">
        <v>2750</v>
      </c>
      <c r="D13" s="168" t="s">
        <v>13</v>
      </c>
      <c r="E13" s="188"/>
      <c r="F13" s="188"/>
      <c r="G13" s="188"/>
      <c r="H13" s="188"/>
      <c r="I13" s="159">
        <v>4705</v>
      </c>
      <c r="J13" s="188"/>
      <c r="K13" s="188"/>
      <c r="L13" s="188"/>
      <c r="M13" s="188">
        <v>2750</v>
      </c>
      <c r="N13" s="188"/>
      <c r="O13" s="157"/>
      <c r="P13" s="157"/>
      <c r="Q13" s="157"/>
      <c r="R13" s="157"/>
      <c r="S13" s="157"/>
      <c r="T13" s="157"/>
    </row>
    <row r="14" spans="1:21">
      <c r="A14" s="190">
        <v>9</v>
      </c>
      <c r="B14" s="176" t="s">
        <v>35</v>
      </c>
      <c r="C14" s="188"/>
      <c r="D14" s="159" t="s">
        <v>548</v>
      </c>
      <c r="E14" s="188"/>
      <c r="F14" s="188"/>
      <c r="G14" s="188"/>
      <c r="H14" s="188"/>
      <c r="I14" s="159">
        <v>2750</v>
      </c>
      <c r="J14" s="171" t="s">
        <v>13</v>
      </c>
      <c r="K14" s="188"/>
      <c r="L14" s="188"/>
      <c r="M14" s="188"/>
      <c r="N14" s="188">
        <v>16980.8</v>
      </c>
      <c r="O14" s="157"/>
      <c r="P14" s="157"/>
      <c r="Q14" s="157"/>
      <c r="R14" s="157"/>
      <c r="S14" s="157"/>
      <c r="T14" s="157"/>
    </row>
    <row r="15" spans="1:21">
      <c r="A15" s="190">
        <v>10</v>
      </c>
      <c r="B15" s="176" t="s">
        <v>521</v>
      </c>
      <c r="C15" s="171" t="s">
        <v>13</v>
      </c>
      <c r="D15" s="168">
        <v>2000</v>
      </c>
      <c r="E15" s="188"/>
      <c r="F15" s="188"/>
      <c r="G15" s="188">
        <v>4</v>
      </c>
      <c r="H15" s="188">
        <v>1000</v>
      </c>
      <c r="I15" s="188"/>
      <c r="J15" s="188">
        <v>3000</v>
      </c>
      <c r="K15" s="188"/>
      <c r="L15" s="188"/>
      <c r="M15" s="188"/>
      <c r="N15" s="188">
        <v>3000</v>
      </c>
      <c r="O15" s="157"/>
      <c r="P15" s="157"/>
      <c r="Q15" s="157"/>
      <c r="R15" s="157"/>
      <c r="S15" s="157"/>
      <c r="T15" s="157"/>
    </row>
    <row r="16" spans="1:21">
      <c r="A16" s="190">
        <v>11</v>
      </c>
      <c r="B16" s="176" t="s">
        <v>369</v>
      </c>
      <c r="C16" s="168" t="s">
        <v>13</v>
      </c>
      <c r="D16" s="168" t="s">
        <v>370</v>
      </c>
      <c r="E16" s="188"/>
      <c r="F16" s="188"/>
      <c r="G16" s="188"/>
      <c r="H16" s="188"/>
      <c r="I16" s="188"/>
      <c r="J16" s="158" t="s">
        <v>370</v>
      </c>
      <c r="K16" s="188"/>
      <c r="L16" s="188"/>
      <c r="M16" s="188"/>
      <c r="N16" s="188">
        <v>721.65</v>
      </c>
      <c r="O16" s="157"/>
      <c r="P16" s="157"/>
      <c r="Q16" s="157"/>
      <c r="R16" s="157"/>
      <c r="S16" s="157"/>
      <c r="T16" s="157"/>
    </row>
    <row r="17" spans="1:20" ht="30.75">
      <c r="A17" s="190">
        <v>12</v>
      </c>
      <c r="B17" s="176" t="s">
        <v>373</v>
      </c>
      <c r="C17" s="168" t="s">
        <v>13</v>
      </c>
      <c r="D17" s="168">
        <v>70</v>
      </c>
      <c r="E17" s="188"/>
      <c r="F17" s="188"/>
      <c r="G17" s="188"/>
      <c r="H17" s="188"/>
      <c r="I17" s="188"/>
      <c r="J17" s="159">
        <v>70</v>
      </c>
      <c r="K17" s="188"/>
      <c r="L17" s="188"/>
      <c r="M17" s="188"/>
      <c r="N17" s="188">
        <v>70</v>
      </c>
      <c r="O17" s="157"/>
      <c r="P17" s="157"/>
      <c r="Q17" s="157"/>
      <c r="R17" s="157"/>
      <c r="S17" s="157"/>
      <c r="T17" s="157"/>
    </row>
    <row r="18" spans="1:20" ht="30.75">
      <c r="A18" s="190">
        <v>13</v>
      </c>
      <c r="B18" s="176" t="s">
        <v>377</v>
      </c>
      <c r="C18" s="168" t="s">
        <v>13</v>
      </c>
      <c r="D18" s="168">
        <v>168</v>
      </c>
      <c r="E18" s="188"/>
      <c r="F18" s="188"/>
      <c r="G18" s="188"/>
      <c r="H18" s="188"/>
      <c r="I18" s="188"/>
      <c r="J18" s="159">
        <v>168</v>
      </c>
      <c r="K18" s="188"/>
      <c r="L18" s="188"/>
      <c r="M18" s="188"/>
      <c r="N18" s="188">
        <v>168</v>
      </c>
      <c r="O18" s="157"/>
      <c r="P18" s="157"/>
      <c r="Q18" s="157"/>
      <c r="R18" s="157"/>
      <c r="S18" s="157"/>
      <c r="T18" s="157"/>
    </row>
    <row r="19" spans="1:20">
      <c r="A19" s="190">
        <v>14</v>
      </c>
      <c r="B19" s="176" t="s">
        <v>50</v>
      </c>
      <c r="C19" s="168" t="s">
        <v>13</v>
      </c>
      <c r="D19" s="168" t="s">
        <v>381</v>
      </c>
      <c r="E19" s="188"/>
      <c r="F19" s="188"/>
      <c r="G19" s="188"/>
      <c r="H19" s="188"/>
      <c r="I19" s="188"/>
      <c r="J19" s="159" t="s">
        <v>381</v>
      </c>
      <c r="K19" s="188"/>
      <c r="L19" s="188"/>
      <c r="M19" s="188"/>
      <c r="N19" s="188">
        <v>166173.01</v>
      </c>
      <c r="O19" s="157"/>
      <c r="P19" s="157"/>
      <c r="Q19" s="157"/>
      <c r="R19" s="157"/>
      <c r="S19" s="157"/>
      <c r="T19" s="157"/>
    </row>
    <row r="20" spans="1:20">
      <c r="A20" s="190">
        <v>15</v>
      </c>
      <c r="B20" s="176" t="s">
        <v>234</v>
      </c>
      <c r="C20" s="168" t="s">
        <v>13</v>
      </c>
      <c r="D20" s="168">
        <v>43400</v>
      </c>
      <c r="E20" s="188"/>
      <c r="F20" s="188"/>
      <c r="G20" s="188"/>
      <c r="H20" s="188"/>
      <c r="I20" s="188"/>
      <c r="J20" s="159">
        <v>43400</v>
      </c>
      <c r="K20" s="188"/>
      <c r="L20" s="158" t="s">
        <v>549</v>
      </c>
      <c r="M20" s="188"/>
      <c r="N20" s="188"/>
      <c r="O20" s="157"/>
      <c r="P20" s="157"/>
      <c r="Q20" s="157"/>
      <c r="R20" s="157"/>
      <c r="S20" s="157"/>
      <c r="T20" s="157"/>
    </row>
    <row r="21" spans="1:20">
      <c r="A21" s="190">
        <v>16</v>
      </c>
      <c r="B21" s="176" t="s">
        <v>228</v>
      </c>
      <c r="C21" s="168" t="s">
        <v>545</v>
      </c>
      <c r="D21" s="168" t="s">
        <v>13</v>
      </c>
      <c r="E21" s="188"/>
      <c r="F21" s="188"/>
      <c r="G21" s="188"/>
      <c r="H21" s="188"/>
      <c r="I21" s="158" t="s">
        <v>545</v>
      </c>
      <c r="J21" s="172" t="s">
        <v>13</v>
      </c>
      <c r="K21" s="188"/>
      <c r="L21" s="188"/>
      <c r="M21" s="158">
        <v>3440.07</v>
      </c>
      <c r="N21" s="188"/>
      <c r="O21" s="157"/>
      <c r="P21" s="157"/>
      <c r="Q21" s="157"/>
      <c r="R21" s="157"/>
      <c r="S21" s="157"/>
      <c r="T21" s="157"/>
    </row>
    <row r="22" spans="1:20" ht="30.75">
      <c r="A22" s="190">
        <v>17</v>
      </c>
      <c r="B22" s="176" t="s">
        <v>401</v>
      </c>
      <c r="C22" s="168" t="s">
        <v>550</v>
      </c>
      <c r="D22" s="168" t="s">
        <v>13</v>
      </c>
      <c r="E22" s="188"/>
      <c r="F22" s="188"/>
      <c r="G22" s="188"/>
      <c r="H22" s="188"/>
      <c r="I22" s="159" t="s">
        <v>550</v>
      </c>
      <c r="J22" s="188"/>
      <c r="K22" s="158" t="s">
        <v>551</v>
      </c>
      <c r="L22" s="188"/>
      <c r="M22" s="188"/>
      <c r="N22" s="188"/>
      <c r="O22" s="157"/>
      <c r="P22" s="157"/>
      <c r="Q22" s="157"/>
      <c r="R22" s="157"/>
      <c r="S22" s="157"/>
      <c r="T22" s="157"/>
    </row>
    <row r="23" spans="1:20" ht="30.75">
      <c r="A23" s="190">
        <v>18</v>
      </c>
      <c r="B23" s="176" t="s">
        <v>406</v>
      </c>
      <c r="C23" s="168">
        <v>5000</v>
      </c>
      <c r="D23" s="168" t="s">
        <v>13</v>
      </c>
      <c r="E23" s="188"/>
      <c r="F23" s="188"/>
      <c r="G23" s="188"/>
      <c r="H23" s="188"/>
      <c r="I23" s="159">
        <v>5000</v>
      </c>
      <c r="J23" s="188"/>
      <c r="K23" s="188"/>
      <c r="L23" s="188"/>
      <c r="M23" s="188">
        <v>5000</v>
      </c>
      <c r="N23" s="188"/>
      <c r="O23" s="157"/>
      <c r="P23" s="157"/>
      <c r="Q23" s="157"/>
      <c r="R23" s="157"/>
      <c r="S23" s="157"/>
      <c r="T23" s="157"/>
    </row>
    <row r="24" spans="1:20">
      <c r="A24" s="190">
        <v>19</v>
      </c>
      <c r="B24" s="176" t="s">
        <v>522</v>
      </c>
      <c r="C24" s="168" t="s">
        <v>13</v>
      </c>
      <c r="D24" s="168">
        <v>6810</v>
      </c>
      <c r="E24" s="188"/>
      <c r="F24" s="188"/>
      <c r="G24" s="188"/>
      <c r="H24" s="188"/>
      <c r="I24" s="188"/>
      <c r="J24" s="158">
        <v>6810</v>
      </c>
      <c r="K24" s="188"/>
      <c r="L24" s="188"/>
      <c r="M24" s="188"/>
      <c r="N24" s="188">
        <v>6810</v>
      </c>
      <c r="O24" s="157"/>
      <c r="P24" s="157"/>
      <c r="Q24" s="157"/>
      <c r="R24" s="157"/>
      <c r="S24" s="157"/>
      <c r="T24" s="157"/>
    </row>
    <row r="25" spans="1:20">
      <c r="A25" s="190">
        <v>20</v>
      </c>
      <c r="B25" s="176" t="s">
        <v>523</v>
      </c>
      <c r="C25" s="168">
        <v>5980</v>
      </c>
      <c r="D25" s="168" t="s">
        <v>13</v>
      </c>
      <c r="E25" s="188"/>
      <c r="F25" s="188"/>
      <c r="G25" s="188"/>
      <c r="H25" s="188"/>
      <c r="I25" s="158">
        <v>5980</v>
      </c>
      <c r="J25" s="188"/>
      <c r="K25" s="158" t="s">
        <v>552</v>
      </c>
      <c r="L25" s="188"/>
      <c r="M25" s="188"/>
      <c r="N25" s="188"/>
      <c r="O25" s="157"/>
      <c r="P25" s="157"/>
      <c r="Q25" s="157"/>
      <c r="R25" s="157"/>
      <c r="S25" s="157"/>
      <c r="T25" s="157"/>
    </row>
    <row r="26" spans="1:20">
      <c r="A26" s="190">
        <v>21</v>
      </c>
      <c r="B26" s="176" t="s">
        <v>524</v>
      </c>
      <c r="C26" s="168">
        <v>490</v>
      </c>
      <c r="D26" s="168" t="s">
        <v>13</v>
      </c>
      <c r="E26" s="188"/>
      <c r="F26" s="188"/>
      <c r="G26" s="188"/>
      <c r="H26" s="188"/>
      <c r="I26" s="159">
        <v>490</v>
      </c>
      <c r="J26" s="188"/>
      <c r="K26" s="159" t="s">
        <v>553</v>
      </c>
      <c r="L26" s="188"/>
      <c r="M26" s="188"/>
      <c r="N26" s="188"/>
      <c r="O26" s="157"/>
      <c r="P26" s="157"/>
      <c r="Q26" s="157"/>
      <c r="R26" s="157"/>
      <c r="S26" s="157"/>
      <c r="T26" s="157"/>
    </row>
    <row r="27" spans="1:20">
      <c r="A27" s="190">
        <v>22</v>
      </c>
      <c r="B27" s="176" t="s">
        <v>200</v>
      </c>
      <c r="C27" s="168" t="s">
        <v>13</v>
      </c>
      <c r="D27" s="168">
        <v>640</v>
      </c>
      <c r="E27" s="188"/>
      <c r="F27" s="188"/>
      <c r="G27" s="188"/>
      <c r="H27" s="188"/>
      <c r="I27" s="188"/>
      <c r="J27" s="158">
        <v>640</v>
      </c>
      <c r="K27" s="188"/>
      <c r="L27" s="158" t="s">
        <v>554</v>
      </c>
      <c r="M27" s="188"/>
      <c r="N27" s="188"/>
      <c r="O27" s="157"/>
      <c r="P27" s="157"/>
      <c r="Q27" s="157"/>
      <c r="R27" s="157"/>
      <c r="S27" s="157"/>
      <c r="T27" s="157"/>
    </row>
    <row r="28" spans="1:20">
      <c r="A28" s="190">
        <v>23</v>
      </c>
      <c r="B28" s="176" t="s">
        <v>431</v>
      </c>
      <c r="C28" s="168" t="s">
        <v>555</v>
      </c>
      <c r="D28" s="168" t="s">
        <v>13</v>
      </c>
      <c r="E28" s="188"/>
      <c r="F28" s="188"/>
      <c r="G28" s="188"/>
      <c r="H28" s="188"/>
      <c r="I28" s="180" t="s">
        <v>555</v>
      </c>
      <c r="J28" s="168" t="s">
        <v>13</v>
      </c>
      <c r="K28" s="188"/>
      <c r="L28" s="188"/>
      <c r="M28" s="188">
        <v>174.6</v>
      </c>
      <c r="N28" s="188"/>
      <c r="O28" s="157"/>
      <c r="P28" s="157"/>
      <c r="Q28" s="157"/>
      <c r="R28" s="157"/>
      <c r="S28" s="157"/>
      <c r="T28" s="157"/>
    </row>
    <row r="29" spans="1:20">
      <c r="A29" s="190">
        <v>24</v>
      </c>
      <c r="B29" s="176" t="s">
        <v>525</v>
      </c>
      <c r="C29" s="168">
        <v>241</v>
      </c>
      <c r="D29" s="168" t="s">
        <v>13</v>
      </c>
      <c r="E29" s="188"/>
      <c r="F29" s="188"/>
      <c r="G29" s="188"/>
      <c r="H29" s="188"/>
      <c r="I29" s="181">
        <v>241</v>
      </c>
      <c r="J29" s="168" t="s">
        <v>13</v>
      </c>
      <c r="K29" s="188"/>
      <c r="L29" s="188"/>
      <c r="M29" s="188">
        <v>241</v>
      </c>
      <c r="N29" s="188"/>
      <c r="O29" s="157"/>
      <c r="P29" s="157"/>
      <c r="Q29" s="157"/>
      <c r="R29" s="157"/>
      <c r="S29" s="157"/>
      <c r="T29" s="157"/>
    </row>
    <row r="30" spans="1:20">
      <c r="A30" s="190">
        <v>25</v>
      </c>
      <c r="B30" s="176" t="s">
        <v>440</v>
      </c>
      <c r="C30" s="168">
        <v>75</v>
      </c>
      <c r="D30" s="168" t="s">
        <v>13</v>
      </c>
      <c r="E30" s="188"/>
      <c r="F30" s="188"/>
      <c r="G30" s="188"/>
      <c r="H30" s="188"/>
      <c r="I30" s="181">
        <v>75</v>
      </c>
      <c r="J30" s="168" t="s">
        <v>13</v>
      </c>
      <c r="K30" s="188">
        <v>75</v>
      </c>
      <c r="L30" s="188"/>
      <c r="M30" s="188"/>
      <c r="N30" s="188"/>
      <c r="O30" s="157"/>
      <c r="P30" s="157"/>
      <c r="Q30" s="157"/>
      <c r="R30" s="157"/>
      <c r="S30" s="157"/>
      <c r="T30" s="157"/>
    </row>
    <row r="31" spans="1:20">
      <c r="A31" s="190">
        <v>26</v>
      </c>
      <c r="B31" s="176" t="s">
        <v>444</v>
      </c>
      <c r="C31" s="168">
        <v>16500</v>
      </c>
      <c r="D31" s="168" t="s">
        <v>13</v>
      </c>
      <c r="E31" s="188"/>
      <c r="F31" s="188"/>
      <c r="G31" s="188"/>
      <c r="H31" s="188"/>
      <c r="I31" s="181">
        <v>16500</v>
      </c>
      <c r="J31" s="168" t="s">
        <v>13</v>
      </c>
      <c r="K31" s="158" t="s">
        <v>556</v>
      </c>
      <c r="L31" s="188"/>
      <c r="M31" s="188"/>
      <c r="N31" s="188"/>
      <c r="O31" s="157"/>
      <c r="P31" s="157"/>
      <c r="Q31" s="157"/>
      <c r="R31" s="157"/>
      <c r="S31" s="157"/>
      <c r="T31" s="157"/>
    </row>
    <row r="32" spans="1:20">
      <c r="A32" s="190">
        <v>27</v>
      </c>
      <c r="B32" s="176" t="s">
        <v>447</v>
      </c>
      <c r="C32" s="168">
        <v>12800</v>
      </c>
      <c r="D32" s="168" t="s">
        <v>13</v>
      </c>
      <c r="E32" s="188"/>
      <c r="F32" s="188"/>
      <c r="G32" s="188"/>
      <c r="H32" s="188"/>
      <c r="I32" s="181">
        <v>12800</v>
      </c>
      <c r="J32" s="168" t="s">
        <v>13</v>
      </c>
      <c r="K32" s="159" t="s">
        <v>557</v>
      </c>
      <c r="L32" s="188"/>
      <c r="M32" s="188"/>
      <c r="N32" s="188"/>
      <c r="O32" s="157"/>
      <c r="P32" s="157"/>
      <c r="Q32" s="157"/>
      <c r="R32" s="157"/>
      <c r="S32" s="157"/>
      <c r="T32" s="157"/>
    </row>
    <row r="33" spans="1:20">
      <c r="A33" s="190">
        <v>28</v>
      </c>
      <c r="B33" s="176" t="s">
        <v>450</v>
      </c>
      <c r="C33" s="168">
        <v>1250</v>
      </c>
      <c r="D33" s="168" t="s">
        <v>13</v>
      </c>
      <c r="E33" s="188"/>
      <c r="F33" s="188"/>
      <c r="G33" s="188"/>
      <c r="H33" s="188"/>
      <c r="I33" s="181">
        <v>1250</v>
      </c>
      <c r="J33" s="168" t="s">
        <v>13</v>
      </c>
      <c r="K33" s="159" t="s">
        <v>558</v>
      </c>
      <c r="L33" s="188"/>
      <c r="M33" s="188"/>
      <c r="N33" s="188"/>
      <c r="O33" s="157"/>
      <c r="P33" s="157"/>
      <c r="Q33" s="157"/>
      <c r="R33" s="157"/>
      <c r="S33" s="157"/>
      <c r="T33" s="157"/>
    </row>
    <row r="34" spans="1:20" ht="30.75">
      <c r="A34" s="190">
        <v>29</v>
      </c>
      <c r="B34" s="176" t="s">
        <v>453</v>
      </c>
      <c r="C34" s="168">
        <v>1000</v>
      </c>
      <c r="D34" s="168" t="s">
        <v>13</v>
      </c>
      <c r="E34" s="188"/>
      <c r="F34" s="188"/>
      <c r="G34" s="188"/>
      <c r="H34" s="188"/>
      <c r="I34" s="181">
        <v>1000</v>
      </c>
      <c r="J34" s="168" t="s">
        <v>13</v>
      </c>
      <c r="K34" s="159" t="s">
        <v>501</v>
      </c>
      <c r="L34" s="188"/>
      <c r="M34" s="188"/>
      <c r="N34" s="188"/>
      <c r="O34" s="157"/>
      <c r="P34" s="157"/>
      <c r="Q34" s="157"/>
      <c r="R34" s="157"/>
      <c r="S34" s="157"/>
      <c r="T34" s="157"/>
    </row>
    <row r="35" spans="1:20">
      <c r="A35" s="190">
        <v>30</v>
      </c>
      <c r="B35" s="176" t="s">
        <v>456</v>
      </c>
      <c r="C35" s="168" t="s">
        <v>457</v>
      </c>
      <c r="D35" s="168" t="s">
        <v>13</v>
      </c>
      <c r="E35" s="188"/>
      <c r="F35" s="188"/>
      <c r="G35" s="188"/>
      <c r="H35" s="188"/>
      <c r="I35" s="181" t="s">
        <v>457</v>
      </c>
      <c r="J35" s="168" t="s">
        <v>13</v>
      </c>
      <c r="K35" s="159" t="s">
        <v>559</v>
      </c>
      <c r="L35" s="188"/>
      <c r="M35" s="188"/>
      <c r="N35" s="188"/>
      <c r="O35" s="157"/>
      <c r="P35" s="157"/>
      <c r="Q35" s="157"/>
      <c r="R35" s="157"/>
      <c r="S35" s="157"/>
      <c r="T35" s="157"/>
    </row>
    <row r="36" spans="1:20">
      <c r="A36" s="190">
        <v>31</v>
      </c>
      <c r="B36" s="176" t="s">
        <v>460</v>
      </c>
      <c r="C36" s="168" t="s">
        <v>461</v>
      </c>
      <c r="D36" s="168" t="s">
        <v>13</v>
      </c>
      <c r="E36" s="188"/>
      <c r="F36" s="188"/>
      <c r="G36" s="188"/>
      <c r="H36" s="188"/>
      <c r="I36" s="181" t="s">
        <v>461</v>
      </c>
      <c r="J36" s="168" t="s">
        <v>13</v>
      </c>
      <c r="K36" s="159" t="s">
        <v>560</v>
      </c>
      <c r="L36" s="188"/>
      <c r="M36" s="188"/>
      <c r="N36" s="188"/>
      <c r="O36" s="157"/>
      <c r="P36" s="157"/>
      <c r="Q36" s="157"/>
      <c r="R36" s="157"/>
      <c r="S36" s="157"/>
      <c r="T36" s="157"/>
    </row>
    <row r="37" spans="1:20">
      <c r="A37" s="190">
        <v>32</v>
      </c>
      <c r="B37" s="176" t="s">
        <v>464</v>
      </c>
      <c r="C37" s="188"/>
      <c r="D37" s="159" t="s">
        <v>466</v>
      </c>
      <c r="E37" s="188"/>
      <c r="F37" s="188"/>
      <c r="G37" s="188"/>
      <c r="H37" s="188"/>
      <c r="I37" s="182"/>
      <c r="J37" s="168" t="s">
        <v>466</v>
      </c>
      <c r="K37" s="188"/>
      <c r="L37" s="188"/>
      <c r="M37" s="188"/>
      <c r="N37" s="158">
        <v>5127.5</v>
      </c>
      <c r="O37" s="157"/>
      <c r="P37" s="157"/>
      <c r="Q37" s="157"/>
      <c r="R37" s="157"/>
      <c r="S37" s="157"/>
      <c r="T37" s="157"/>
    </row>
    <row r="38" spans="1:20">
      <c r="A38" s="190">
        <v>33</v>
      </c>
      <c r="B38" s="176" t="s">
        <v>469</v>
      </c>
      <c r="C38" s="171">
        <v>6000</v>
      </c>
      <c r="D38" s="168" t="s">
        <v>13</v>
      </c>
      <c r="E38" s="188"/>
      <c r="F38" s="188"/>
      <c r="G38" s="188"/>
      <c r="H38" s="188"/>
      <c r="I38" s="183">
        <v>6000</v>
      </c>
      <c r="J38" s="168" t="s">
        <v>13</v>
      </c>
      <c r="K38" s="188"/>
      <c r="L38" s="188"/>
      <c r="M38" s="158">
        <v>6000</v>
      </c>
      <c r="N38" s="188"/>
      <c r="O38" s="157"/>
      <c r="P38" s="157"/>
      <c r="Q38" s="157"/>
      <c r="R38" s="157"/>
      <c r="S38" s="157"/>
      <c r="T38" s="157"/>
    </row>
    <row r="39" spans="1:20">
      <c r="A39" s="190">
        <v>34</v>
      </c>
      <c r="B39" s="176" t="s">
        <v>473</v>
      </c>
      <c r="C39" s="168" t="s">
        <v>345</v>
      </c>
      <c r="D39" s="168" t="s">
        <v>13</v>
      </c>
      <c r="E39" s="188"/>
      <c r="F39" s="188"/>
      <c r="G39" s="188"/>
      <c r="H39" s="188"/>
      <c r="I39" s="184" t="s">
        <v>345</v>
      </c>
      <c r="J39" s="168" t="s">
        <v>13</v>
      </c>
      <c r="K39" s="158" t="s">
        <v>561</v>
      </c>
      <c r="L39" s="188"/>
      <c r="M39" s="188"/>
      <c r="N39" s="188"/>
      <c r="O39" s="157"/>
      <c r="P39" s="157"/>
      <c r="Q39" s="157"/>
      <c r="R39" s="157"/>
      <c r="S39" s="157"/>
      <c r="T39" s="157"/>
    </row>
    <row r="40" spans="1:20">
      <c r="A40" s="190">
        <v>36</v>
      </c>
      <c r="B40" s="177" t="s">
        <v>526</v>
      </c>
      <c r="C40" s="188"/>
      <c r="D40" s="188"/>
      <c r="E40" s="179">
        <v>1</v>
      </c>
      <c r="F40" s="188" t="s">
        <v>562</v>
      </c>
      <c r="G40" s="188"/>
      <c r="H40" s="188"/>
      <c r="I40" s="188" t="s">
        <v>562</v>
      </c>
      <c r="J40" s="188"/>
      <c r="K40" s="188">
        <v>4232.04</v>
      </c>
      <c r="L40" s="188"/>
      <c r="M40" s="188"/>
      <c r="N40" s="188"/>
      <c r="O40" s="157"/>
      <c r="P40" s="157"/>
      <c r="Q40" s="157"/>
      <c r="R40" s="157"/>
      <c r="S40" s="157"/>
      <c r="T40" s="157"/>
    </row>
    <row r="41" spans="1:20">
      <c r="A41" s="190">
        <v>37</v>
      </c>
      <c r="B41" s="177" t="s">
        <v>527</v>
      </c>
      <c r="C41" s="188"/>
      <c r="D41" s="188"/>
      <c r="E41" s="188"/>
      <c r="F41" s="188"/>
      <c r="G41" s="167">
        <v>1</v>
      </c>
      <c r="H41" s="188" t="s">
        <v>562</v>
      </c>
      <c r="I41" s="188"/>
      <c r="J41" s="188" t="s">
        <v>562</v>
      </c>
      <c r="K41" s="188"/>
      <c r="L41" s="188"/>
      <c r="M41" s="163" t="s">
        <v>13</v>
      </c>
      <c r="N41" s="188">
        <v>4232.04</v>
      </c>
      <c r="O41" s="157"/>
      <c r="P41" s="157"/>
      <c r="Q41" s="157"/>
      <c r="R41" s="157"/>
      <c r="S41" s="157"/>
      <c r="T41" s="157"/>
    </row>
    <row r="42" spans="1:20">
      <c r="A42" s="190">
        <v>38</v>
      </c>
      <c r="B42" s="189" t="s">
        <v>528</v>
      </c>
      <c r="C42" s="188"/>
      <c r="D42" s="188"/>
      <c r="E42" s="179">
        <v>2</v>
      </c>
      <c r="F42" s="190">
        <v>550</v>
      </c>
      <c r="G42" s="188"/>
      <c r="H42" s="188"/>
      <c r="I42" s="190">
        <v>550</v>
      </c>
      <c r="J42" s="188"/>
      <c r="K42" s="188">
        <v>550</v>
      </c>
      <c r="L42" s="188"/>
      <c r="M42" s="188"/>
      <c r="N42" s="188"/>
      <c r="O42" s="157"/>
      <c r="P42" s="157"/>
      <c r="Q42" s="157"/>
      <c r="R42" s="157"/>
      <c r="S42" s="157"/>
      <c r="T42" s="157"/>
    </row>
    <row r="43" spans="1:20">
      <c r="A43" s="190">
        <v>39</v>
      </c>
      <c r="B43" s="189" t="s">
        <v>529</v>
      </c>
      <c r="C43" s="188"/>
      <c r="D43" s="188"/>
      <c r="E43" s="188"/>
      <c r="F43" s="188"/>
      <c r="G43" s="179">
        <v>2</v>
      </c>
      <c r="H43" s="188">
        <v>550</v>
      </c>
      <c r="I43" s="188"/>
      <c r="J43" s="190">
        <v>550</v>
      </c>
      <c r="K43" s="188"/>
      <c r="L43" s="188"/>
      <c r="M43" s="188"/>
      <c r="N43" s="188">
        <v>550</v>
      </c>
      <c r="O43" s="157"/>
      <c r="P43" s="157"/>
      <c r="Q43" s="157"/>
      <c r="R43" s="157"/>
      <c r="S43" s="157"/>
      <c r="T43" s="157"/>
    </row>
    <row r="44" spans="1:20">
      <c r="A44" s="190">
        <v>40</v>
      </c>
      <c r="B44" s="189" t="s">
        <v>530</v>
      </c>
      <c r="C44" s="188"/>
      <c r="D44" s="188"/>
      <c r="E44" s="179">
        <v>3</v>
      </c>
      <c r="F44" s="188" t="s">
        <v>546</v>
      </c>
      <c r="G44" s="188"/>
      <c r="H44" s="188"/>
      <c r="I44" s="188" t="s">
        <v>546</v>
      </c>
      <c r="J44" s="188"/>
      <c r="K44" s="188">
        <v>103.21</v>
      </c>
      <c r="L44" s="188"/>
      <c r="M44" s="188"/>
      <c r="N44" s="188"/>
      <c r="O44" s="157"/>
      <c r="P44" s="157"/>
      <c r="Q44" s="157"/>
      <c r="R44" s="157"/>
      <c r="S44" s="157"/>
      <c r="T44" s="157"/>
    </row>
    <row r="45" spans="1:20" ht="30.75">
      <c r="A45" s="190">
        <v>41</v>
      </c>
      <c r="B45" s="189" t="s">
        <v>531</v>
      </c>
      <c r="C45" s="188"/>
      <c r="D45" s="188"/>
      <c r="E45" s="188"/>
      <c r="F45" s="188"/>
      <c r="G45" s="179">
        <v>3</v>
      </c>
      <c r="H45" s="188" t="s">
        <v>546</v>
      </c>
      <c r="I45" s="188"/>
      <c r="J45" s="188" t="s">
        <v>546</v>
      </c>
      <c r="K45" s="188"/>
      <c r="L45" s="188"/>
      <c r="M45" s="188"/>
      <c r="N45" s="188">
        <v>103.21</v>
      </c>
      <c r="O45" s="157"/>
      <c r="P45" s="157"/>
      <c r="Q45" s="157"/>
      <c r="R45" s="157"/>
      <c r="S45" s="157"/>
      <c r="T45" s="157"/>
    </row>
    <row r="46" spans="1:20">
      <c r="A46" s="190"/>
      <c r="B46" s="189" t="s">
        <v>532</v>
      </c>
      <c r="C46" s="173" t="s">
        <v>563</v>
      </c>
      <c r="D46" s="173" t="s">
        <v>563</v>
      </c>
      <c r="E46" s="188"/>
      <c r="F46" s="188" t="s">
        <v>564</v>
      </c>
      <c r="G46" s="188"/>
      <c r="H46" s="188" t="s">
        <v>564</v>
      </c>
      <c r="I46" s="188">
        <v>247976.21</v>
      </c>
      <c r="J46" s="163" t="s">
        <v>565</v>
      </c>
      <c r="K46" s="188">
        <v>97912.16</v>
      </c>
      <c r="L46" s="188">
        <v>50407.5</v>
      </c>
      <c r="M46" s="174">
        <v>203936.21</v>
      </c>
      <c r="N46" s="174">
        <v>203936.21</v>
      </c>
      <c r="O46" s="157"/>
      <c r="P46" s="157"/>
      <c r="Q46" s="157"/>
      <c r="R46" s="157"/>
      <c r="S46" s="157"/>
      <c r="T46" s="157"/>
    </row>
    <row r="47" spans="1:20" ht="30.75">
      <c r="A47" s="190"/>
      <c r="B47" s="189" t="s">
        <v>566</v>
      </c>
      <c r="C47" s="188"/>
      <c r="D47" s="188"/>
      <c r="E47" s="188"/>
      <c r="F47" s="188"/>
      <c r="G47" s="188"/>
      <c r="H47" s="188"/>
      <c r="I47" s="188"/>
      <c r="J47" s="188"/>
      <c r="K47" s="188"/>
      <c r="L47" s="188">
        <v>47504.66</v>
      </c>
      <c r="M47" s="188">
        <v>47504.66</v>
      </c>
      <c r="N47" s="188"/>
      <c r="O47" s="157"/>
      <c r="P47" s="157"/>
      <c r="Q47" s="157"/>
      <c r="R47" s="157"/>
      <c r="S47" s="157"/>
      <c r="T47" s="157"/>
    </row>
    <row r="48" spans="1:20">
      <c r="A48" s="190"/>
      <c r="B48" s="189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62" t="s">
        <v>13</v>
      </c>
      <c r="P48" s="157"/>
      <c r="Q48" s="157"/>
      <c r="R48" s="157"/>
      <c r="S48" s="157"/>
      <c r="T48" s="157"/>
    </row>
    <row r="49" spans="1:20">
      <c r="A49" s="190"/>
      <c r="B49" s="189"/>
      <c r="C49" s="188"/>
      <c r="D49" s="188"/>
      <c r="E49" s="188"/>
      <c r="F49" s="188"/>
      <c r="G49" s="188"/>
      <c r="H49" s="188"/>
      <c r="I49" s="188"/>
      <c r="J49" s="188"/>
      <c r="K49" s="188"/>
      <c r="L49" s="188"/>
      <c r="M49" s="174">
        <v>203936.21</v>
      </c>
      <c r="N49" s="174">
        <v>203936.21</v>
      </c>
      <c r="O49" s="157"/>
      <c r="P49" s="157"/>
      <c r="Q49" s="157"/>
      <c r="R49" s="157"/>
      <c r="S49" s="157"/>
      <c r="T49" s="157"/>
    </row>
    <row r="50" spans="1:20">
      <c r="A50" s="190"/>
      <c r="B50" s="189"/>
      <c r="C50" s="188"/>
      <c r="D50" s="188"/>
      <c r="E50" s="188"/>
      <c r="F50" s="188"/>
      <c r="G50" s="188"/>
      <c r="H50" s="188"/>
      <c r="I50" s="188"/>
      <c r="J50" s="188"/>
      <c r="K50" s="188"/>
      <c r="L50" s="188"/>
      <c r="M50" s="188"/>
      <c r="N50" s="188"/>
      <c r="O50" s="157"/>
      <c r="P50" s="157"/>
      <c r="Q50" s="157"/>
      <c r="R50" s="157"/>
      <c r="S50" s="157"/>
      <c r="T50" s="157"/>
    </row>
    <row r="51" spans="1:20">
      <c r="A51" s="190"/>
      <c r="B51" s="189" t="s">
        <v>567</v>
      </c>
      <c r="C51" s="188"/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157"/>
      <c r="P51" s="157"/>
      <c r="Q51" s="157"/>
      <c r="R51" s="157"/>
      <c r="S51" s="157"/>
      <c r="T51" s="157"/>
    </row>
    <row r="52" spans="1:20">
      <c r="A52" s="190"/>
      <c r="B52" s="186" t="s">
        <v>568</v>
      </c>
      <c r="C52" s="188"/>
      <c r="D52" s="188"/>
      <c r="E52" s="188"/>
      <c r="F52" s="188"/>
      <c r="G52" s="188"/>
      <c r="H52" s="188"/>
      <c r="I52" s="188"/>
      <c r="J52" s="188"/>
      <c r="K52" s="188"/>
      <c r="L52" s="188"/>
      <c r="M52" s="188"/>
      <c r="N52" s="188"/>
      <c r="O52" s="157"/>
      <c r="P52" s="157"/>
      <c r="Q52" s="157"/>
      <c r="R52" s="157"/>
      <c r="S52" s="157"/>
      <c r="T52" s="157"/>
    </row>
    <row r="53" spans="1:20">
      <c r="A53" s="190" t="s">
        <v>569</v>
      </c>
      <c r="B53" s="189" t="s">
        <v>570</v>
      </c>
      <c r="C53" s="188" t="s">
        <v>562</v>
      </c>
      <c r="D53" s="188"/>
      <c r="E53" s="188"/>
      <c r="F53" s="188"/>
      <c r="G53" s="188"/>
      <c r="H53" s="188"/>
      <c r="I53" s="188"/>
      <c r="J53" s="188"/>
      <c r="K53" s="188"/>
      <c r="L53" s="188"/>
      <c r="M53" s="188"/>
      <c r="N53" s="188"/>
      <c r="O53" s="157"/>
      <c r="P53" s="157"/>
      <c r="Q53" s="157"/>
      <c r="R53" s="157"/>
      <c r="S53" s="157"/>
      <c r="T53" s="157"/>
    </row>
    <row r="54" spans="1:20">
      <c r="A54" s="190"/>
      <c r="B54" s="189" t="s">
        <v>571</v>
      </c>
      <c r="C54" s="187" t="s">
        <v>13</v>
      </c>
      <c r="D54" s="187" t="s">
        <v>562</v>
      </c>
      <c r="E54" s="188"/>
      <c r="F54" s="188"/>
      <c r="G54" s="188"/>
      <c r="H54" s="188"/>
      <c r="I54" s="188"/>
      <c r="J54" s="188"/>
      <c r="K54" s="188"/>
      <c r="L54" s="188"/>
      <c r="M54" s="188"/>
      <c r="N54" s="188"/>
      <c r="O54" s="157"/>
      <c r="P54" s="157"/>
      <c r="Q54" s="157"/>
      <c r="R54" s="157"/>
      <c r="S54" s="157"/>
      <c r="T54" s="157"/>
    </row>
    <row r="55" spans="1:20">
      <c r="A55" s="190"/>
      <c r="B55" s="189" t="s">
        <v>572</v>
      </c>
      <c r="C55" s="188" t="s">
        <v>562</v>
      </c>
      <c r="D55" s="188" t="s">
        <v>562</v>
      </c>
      <c r="E55" s="188"/>
      <c r="F55" s="188"/>
      <c r="G55" s="188"/>
      <c r="H55" s="188"/>
      <c r="I55" s="188"/>
      <c r="J55" s="188"/>
      <c r="K55" s="188"/>
      <c r="L55" s="188"/>
      <c r="M55" s="188"/>
      <c r="N55" s="188"/>
      <c r="O55" s="157"/>
      <c r="P55" s="157"/>
      <c r="Q55" s="157"/>
      <c r="R55" s="157"/>
      <c r="S55" s="157"/>
      <c r="T55" s="157"/>
    </row>
    <row r="56" spans="1:20">
      <c r="A56" s="190"/>
      <c r="B56" s="189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57"/>
      <c r="P56" s="157"/>
      <c r="Q56" s="157"/>
      <c r="R56" s="157"/>
      <c r="S56" s="157"/>
      <c r="T56" s="157"/>
    </row>
    <row r="57" spans="1:20">
      <c r="A57" s="190" t="s">
        <v>573</v>
      </c>
      <c r="B57" s="178"/>
      <c r="C57" s="188"/>
      <c r="D57" s="188"/>
      <c r="E57" s="188"/>
      <c r="F57" s="188"/>
      <c r="G57" s="188"/>
      <c r="H57" s="188"/>
      <c r="I57" s="188"/>
      <c r="J57" s="188"/>
      <c r="K57" s="188"/>
      <c r="L57" s="188"/>
      <c r="M57" s="188"/>
      <c r="N57" s="188"/>
      <c r="O57" s="157"/>
      <c r="P57" s="157"/>
      <c r="Q57" s="157"/>
      <c r="R57" s="157"/>
      <c r="S57" s="157"/>
      <c r="T57" s="157"/>
    </row>
    <row r="58" spans="1:20">
      <c r="A58" s="190"/>
      <c r="B58" s="189" t="s">
        <v>574</v>
      </c>
      <c r="C58" s="188">
        <v>500</v>
      </c>
      <c r="D58" s="188"/>
      <c r="E58" s="188"/>
      <c r="F58" s="188"/>
      <c r="G58" s="188"/>
      <c r="H58" s="188"/>
      <c r="I58" s="188"/>
      <c r="J58" s="188"/>
      <c r="K58" s="188"/>
      <c r="L58" s="188"/>
      <c r="M58" s="188"/>
      <c r="N58" s="188"/>
      <c r="O58" s="157"/>
      <c r="P58" s="157"/>
      <c r="Q58" s="157"/>
      <c r="R58" s="157"/>
      <c r="S58" s="157"/>
      <c r="T58" s="157"/>
    </row>
    <row r="59" spans="1:20">
      <c r="A59" s="190"/>
      <c r="B59" s="189" t="s">
        <v>575</v>
      </c>
      <c r="C59" s="187" t="s">
        <v>13</v>
      </c>
      <c r="D59" s="187">
        <v>500</v>
      </c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57"/>
      <c r="P59" s="157"/>
      <c r="Q59" s="157"/>
      <c r="R59" s="157"/>
      <c r="S59" s="157"/>
      <c r="T59" s="157"/>
    </row>
    <row r="60" spans="1:20">
      <c r="A60" s="190"/>
      <c r="B60" s="189" t="s">
        <v>572</v>
      </c>
      <c r="C60" s="188">
        <v>500</v>
      </c>
      <c r="D60" s="188">
        <v>500</v>
      </c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57"/>
      <c r="P60" s="157"/>
      <c r="Q60" s="157"/>
      <c r="R60" s="157"/>
      <c r="S60" s="157"/>
      <c r="T60" s="157"/>
    </row>
    <row r="61" spans="1:20">
      <c r="A61" s="190"/>
      <c r="B61" s="189"/>
      <c r="C61" s="188"/>
      <c r="D61" s="188"/>
      <c r="E61" s="188"/>
      <c r="F61" s="188"/>
      <c r="G61" s="188"/>
      <c r="H61" s="188"/>
      <c r="I61" s="188"/>
      <c r="J61" s="188"/>
      <c r="K61" s="188"/>
      <c r="L61" s="188"/>
      <c r="M61" s="188"/>
      <c r="N61" s="188"/>
      <c r="O61" s="157"/>
      <c r="P61" s="157"/>
      <c r="Q61" s="157"/>
      <c r="R61" s="157"/>
      <c r="S61" s="157"/>
      <c r="T61" s="157"/>
    </row>
    <row r="62" spans="1:20">
      <c r="A62" s="190" t="s">
        <v>576</v>
      </c>
      <c r="B62" s="178"/>
      <c r="C62" s="157"/>
      <c r="D62" s="157"/>
      <c r="E62" s="157"/>
      <c r="F62" s="157"/>
      <c r="G62" s="157"/>
      <c r="H62" s="157"/>
      <c r="I62" s="190"/>
      <c r="J62" s="157"/>
      <c r="K62" s="190"/>
      <c r="L62" s="190"/>
      <c r="M62" s="190"/>
      <c r="N62" s="190"/>
      <c r="O62" s="157"/>
      <c r="P62" s="157"/>
      <c r="Q62" s="157"/>
      <c r="R62" s="157"/>
      <c r="S62" s="157"/>
      <c r="T62" s="157"/>
    </row>
    <row r="63" spans="1:20">
      <c r="A63" s="190"/>
      <c r="B63" s="189" t="s">
        <v>577</v>
      </c>
      <c r="C63" s="188" t="s">
        <v>546</v>
      </c>
      <c r="D63" s="188"/>
      <c r="E63" s="157"/>
      <c r="F63" s="157"/>
      <c r="G63" s="157"/>
      <c r="H63" s="157"/>
      <c r="I63" s="190"/>
      <c r="J63" s="157"/>
      <c r="K63" s="190"/>
      <c r="L63" s="190"/>
      <c r="M63" s="190"/>
      <c r="N63" s="190"/>
      <c r="O63" s="157"/>
      <c r="P63" s="157"/>
      <c r="Q63" s="157"/>
      <c r="R63" s="157"/>
      <c r="S63" s="157"/>
      <c r="T63" s="157"/>
    </row>
    <row r="64" spans="1:20">
      <c r="A64" s="190"/>
      <c r="B64" s="189" t="s">
        <v>578</v>
      </c>
      <c r="C64" s="187" t="s">
        <v>13</v>
      </c>
      <c r="D64" s="187" t="s">
        <v>546</v>
      </c>
      <c r="E64" s="157"/>
      <c r="F64" s="157"/>
      <c r="G64" s="157"/>
      <c r="H64" s="157"/>
      <c r="I64" s="190"/>
      <c r="J64" s="157"/>
      <c r="K64" s="190"/>
      <c r="L64" s="190"/>
      <c r="M64" s="190"/>
      <c r="N64" s="190"/>
      <c r="O64" s="157"/>
      <c r="P64" s="157"/>
      <c r="Q64" s="157"/>
      <c r="R64" s="157"/>
      <c r="S64" s="157"/>
      <c r="T64" s="157"/>
    </row>
    <row r="65" spans="1:20">
      <c r="A65" s="190"/>
      <c r="B65" s="189" t="s">
        <v>572</v>
      </c>
      <c r="C65" s="188" t="s">
        <v>546</v>
      </c>
      <c r="D65" s="188" t="s">
        <v>546</v>
      </c>
      <c r="E65" s="157"/>
      <c r="F65" s="157"/>
      <c r="G65" s="157"/>
      <c r="H65" s="157"/>
      <c r="I65" s="190"/>
      <c r="J65" s="157"/>
      <c r="K65" s="190"/>
      <c r="L65" s="190"/>
      <c r="M65" s="190"/>
      <c r="N65" s="190"/>
      <c r="O65" s="157"/>
      <c r="P65" s="157"/>
      <c r="Q65" s="157"/>
      <c r="R65" s="157"/>
      <c r="S65" s="157"/>
      <c r="T65" s="157"/>
    </row>
    <row r="66" spans="1:20">
      <c r="A66" s="190"/>
      <c r="B66" s="193"/>
      <c r="C66" s="188"/>
      <c r="D66" s="188"/>
      <c r="E66" s="157"/>
      <c r="F66" s="157"/>
      <c r="G66" s="157"/>
      <c r="H66" s="157"/>
      <c r="I66" s="190"/>
      <c r="J66" s="157"/>
      <c r="K66" s="190"/>
      <c r="L66" s="190"/>
      <c r="M66" s="190"/>
      <c r="N66" s="190"/>
      <c r="O66" s="157"/>
      <c r="P66" s="157"/>
      <c r="Q66" s="157"/>
      <c r="R66" s="157"/>
      <c r="S66" s="157"/>
      <c r="T66" s="157"/>
    </row>
    <row r="67" spans="1:20">
      <c r="A67" s="190" t="s">
        <v>579</v>
      </c>
      <c r="B67" s="189" t="s">
        <v>9</v>
      </c>
      <c r="C67" s="158">
        <v>1000</v>
      </c>
      <c r="D67" s="188"/>
      <c r="E67" s="157"/>
      <c r="F67" s="190"/>
      <c r="G67" s="157"/>
      <c r="H67" s="157"/>
      <c r="I67" s="190"/>
      <c r="J67" s="157"/>
      <c r="K67" s="190"/>
      <c r="L67" s="190"/>
      <c r="M67" s="190"/>
      <c r="N67" s="190"/>
      <c r="O67" s="157"/>
      <c r="P67" s="157"/>
      <c r="Q67" s="157"/>
      <c r="R67" s="157"/>
      <c r="S67" s="157"/>
      <c r="T67" s="157"/>
    </row>
    <row r="68" spans="1:20">
      <c r="A68" s="190"/>
      <c r="B68" s="189" t="s">
        <v>580</v>
      </c>
      <c r="C68" s="188"/>
      <c r="D68" s="188">
        <v>1000</v>
      </c>
      <c r="E68" s="157"/>
      <c r="F68" s="157"/>
      <c r="G68" s="157"/>
      <c r="H68" s="157"/>
      <c r="I68" s="190"/>
      <c r="J68" s="157"/>
      <c r="K68" s="190"/>
      <c r="L68" s="190"/>
      <c r="M68" s="190"/>
      <c r="N68" s="190"/>
      <c r="O68" s="157"/>
      <c r="P68" s="157"/>
      <c r="Q68" s="157"/>
      <c r="R68" s="157"/>
      <c r="S68" s="157"/>
      <c r="T68" s="157"/>
    </row>
    <row r="69" spans="1:20">
      <c r="A69" s="190"/>
      <c r="B69" s="189" t="s">
        <v>572</v>
      </c>
      <c r="C69" s="157"/>
      <c r="D69" s="157"/>
      <c r="E69" s="157"/>
      <c r="F69" s="157"/>
      <c r="G69" s="157"/>
      <c r="H69" s="157"/>
      <c r="I69" s="190"/>
      <c r="J69" s="157"/>
      <c r="K69" s="190"/>
      <c r="L69" s="190"/>
      <c r="M69" s="190"/>
      <c r="N69" s="190"/>
      <c r="O69" s="157"/>
      <c r="P69" s="157"/>
      <c r="Q69" s="157"/>
      <c r="R69" s="157"/>
      <c r="S69" s="157"/>
      <c r="T69" s="157"/>
    </row>
    <row r="70" spans="1:20">
      <c r="A70" s="190"/>
      <c r="B70" s="193"/>
      <c r="C70" s="157"/>
      <c r="D70" s="157"/>
      <c r="E70" s="157"/>
      <c r="F70" s="157"/>
      <c r="G70" s="157"/>
      <c r="H70" s="157"/>
      <c r="I70" s="190"/>
      <c r="J70" s="157"/>
      <c r="K70" s="190"/>
      <c r="L70" s="190"/>
      <c r="M70" s="190"/>
      <c r="N70" s="190"/>
      <c r="O70" s="157"/>
      <c r="P70" s="157"/>
      <c r="Q70" s="157"/>
      <c r="R70" s="157"/>
      <c r="S70" s="157"/>
      <c r="T70" s="157"/>
    </row>
  </sheetData>
  <mergeCells count="11">
    <mergeCell ref="Q5:R5"/>
    <mergeCell ref="Q8:R8"/>
    <mergeCell ref="B1:N1"/>
    <mergeCell ref="Q1:R1"/>
    <mergeCell ref="B2:N2"/>
    <mergeCell ref="B3:N3"/>
    <mergeCell ref="C4:D4"/>
    <mergeCell ref="F4:H4"/>
    <mergeCell ref="I4:J4"/>
    <mergeCell ref="K4:L4"/>
    <mergeCell ref="M4:N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/>
  <cp:revision/>
  <dcterms:created xsi:type="dcterms:W3CDTF">2019-02-07T02:56:47Z</dcterms:created>
  <dcterms:modified xsi:type="dcterms:W3CDTF">2026-06-03T07:29:49Z</dcterms:modified>
  <cp:category/>
  <cp:contentStatus/>
</cp:coreProperties>
</file>