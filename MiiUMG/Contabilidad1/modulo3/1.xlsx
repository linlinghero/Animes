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Users\milub\Documents\UMG\2026\CONTABILIDAD\TODO\"/>
    </mc:Choice>
  </mc:AlternateContent>
  <xr:revisionPtr revIDLastSave="0" documentId="8_{6C6D4C76-2733-479C-953D-8551A2F1C540}" xr6:coauthVersionLast="47" xr6:coauthVersionMax="47" xr10:uidLastSave="{00000000-0000-0000-0000-000000000000}"/>
  <bookViews>
    <workbookView xWindow="0" yWindow="0" windowWidth="15348" windowHeight="4632" firstSheet="4" activeTab="4" xr2:uid="{00000000-000D-0000-FFFF-FFFF00000000}"/>
  </bookViews>
  <sheets>
    <sheet name="Inventario" sheetId="1" r:id="rId1"/>
    <sheet name="Balance" sheetId="3" r:id="rId2"/>
    <sheet name="Diario" sheetId="4" r:id="rId3"/>
    <sheet name="MAYOR" sheetId="5" r:id="rId4"/>
    <sheet name="Comprobacion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6" l="1"/>
  <c r="I10" i="6"/>
  <c r="I9" i="6"/>
  <c r="I8" i="6"/>
  <c r="I7" i="6"/>
  <c r="I6" i="6"/>
  <c r="F29" i="6"/>
  <c r="I95" i="5"/>
  <c r="I74" i="5"/>
  <c r="I73" i="5"/>
  <c r="I54" i="5"/>
  <c r="I50" i="5"/>
  <c r="I46" i="5"/>
  <c r="I42" i="5"/>
  <c r="I41" i="5"/>
  <c r="I40" i="5"/>
  <c r="I39" i="5"/>
  <c r="I35" i="5"/>
  <c r="I34" i="5"/>
  <c r="I29" i="5"/>
  <c r="I30" i="5" s="1"/>
  <c r="I28" i="5"/>
  <c r="I24" i="5"/>
  <c r="I23" i="5"/>
  <c r="I22" i="5"/>
  <c r="I21" i="5"/>
  <c r="I20" i="5"/>
  <c r="I19" i="5"/>
  <c r="I18" i="5"/>
  <c r="I17" i="5"/>
  <c r="I13" i="5"/>
  <c r="I12" i="5"/>
  <c r="I11" i="5"/>
  <c r="I10" i="5"/>
  <c r="I9" i="5"/>
  <c r="I8" i="5"/>
  <c r="C86" i="4"/>
  <c r="D75" i="4"/>
  <c r="D49" i="4"/>
  <c r="C49" i="4"/>
  <c r="C42" i="4"/>
  <c r="C24" i="4"/>
  <c r="D23" i="4" s="1"/>
  <c r="D24" i="4" s="1"/>
  <c r="H34" i="3"/>
  <c r="G30" i="3"/>
  <c r="F94" i="1"/>
  <c r="F84" i="1"/>
  <c r="G19" i="3"/>
  <c r="G24" i="3"/>
  <c r="G15" i="3"/>
  <c r="F79" i="1"/>
  <c r="G11" i="3"/>
  <c r="F93" i="1"/>
  <c r="H33" i="3"/>
  <c r="H19" i="3" l="1"/>
  <c r="H25" i="3" s="1"/>
  <c r="H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E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sin iva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Estuardo BX</author>
  </authors>
  <commentList>
    <comment ref="D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sin iva</t>
        </r>
      </text>
    </comment>
    <comment ref="C3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3</t>
        </r>
      </text>
    </comment>
    <comment ref="C3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2</t>
        </r>
      </text>
    </comment>
    <comment ref="D3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1</t>
        </r>
      </text>
    </comment>
    <comment ref="D40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4</t>
        </r>
      </text>
    </comment>
    <comment ref="C82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=1569x.05 la comisión da 1647.45 sin iva 1470.9375 el IVA de 1470,93 son 176.51 y sobre eso el 15% según art. 3 ley antievasión fiscal</t>
        </r>
      </text>
    </comment>
    <comment ref="C84" authorId="1" shapeId="0" xr:uid="{C8C21764-B250-4CAA-9D3B-8D7107C9862C}">
      <text>
        <r>
          <rPr>
            <sz val="11"/>
            <color theme="1"/>
            <rFont val="Calibri"/>
            <family val="2"/>
            <scheme val="minor"/>
          </rPr>
          <t>Estuardo BX:
Cálculo de intereses:
Capital abonado: Q.5,000
Interés mensual (21% anual ÷ 12): 21% ÷ 12 = 1.75%
Interés de 30 días: Q.5,000 × 0.0175 = Q.87.50
Total pagado con cheque: Q.5,000 + Q.87.50 = Q.5,087.50</t>
        </r>
      </text>
    </comment>
    <comment ref="C11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9184 sin iva 8200 el IVA es de 984 el 15% de 984 147.6 y el 5% de 8200 son 410 a caja entran 9184 - 147.6 y - 410</t>
        </r>
      </text>
    </comment>
    <comment ref="D133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TOTAL SUELDOS 35262.31 MENOS INCLUIDO CUENTAS PATRONALES Y ANTICIPO DE 200 =29934.81</t>
        </r>
      </text>
    </comment>
    <comment ref="D134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16500+12800= 29300*4.83%= 1415.19+290.55+1621.76= 5127.5</t>
        </r>
      </text>
    </comment>
  </commentList>
</comments>
</file>

<file path=xl/sharedStrings.xml><?xml version="1.0" encoding="utf-8"?>
<sst xmlns="http://schemas.openxmlformats.org/spreadsheetml/2006/main" count="530" uniqueCount="281">
  <si>
    <t>Ejrcicio No. 2 Libro de inventarios</t>
  </si>
  <si>
    <t xml:space="preserve">Inventario No. 1 del Almacén la Independencia </t>
  </si>
  <si>
    <t>Practicado al 31 de diciembre de 2015</t>
  </si>
  <si>
    <t>ACTIVO</t>
  </si>
  <si>
    <t>Resumen</t>
  </si>
  <si>
    <t xml:space="preserve">Corriente </t>
  </si>
  <si>
    <t>Caja</t>
  </si>
  <si>
    <t>4,635.65</t>
  </si>
  <si>
    <t xml:space="preserve">Disponible </t>
  </si>
  <si>
    <t>Bancos</t>
  </si>
  <si>
    <t>24,800.00</t>
  </si>
  <si>
    <t xml:space="preserve">caja </t>
  </si>
  <si>
    <t>Clientes</t>
  </si>
  <si>
    <t>7,700.00</t>
  </si>
  <si>
    <t xml:space="preserve">Billetes </t>
  </si>
  <si>
    <t>Documentos por cobrar</t>
  </si>
  <si>
    <t>3,600.00</t>
  </si>
  <si>
    <t xml:space="preserve">Monedas </t>
  </si>
  <si>
    <t>IVA por cobrar</t>
  </si>
  <si>
    <t>6,833.32</t>
  </si>
  <si>
    <t xml:space="preserve">Mercaderías </t>
  </si>
  <si>
    <t>192,499.14</t>
  </si>
  <si>
    <t xml:space="preserve">Número DM- 606012-228 del Banco Uno, S.A. </t>
  </si>
  <si>
    <t xml:space="preserve">Vehículos </t>
  </si>
  <si>
    <t>114,285.71</t>
  </si>
  <si>
    <t xml:space="preserve">Número DM-1-31452-3 del Banco G &amp; T </t>
  </si>
  <si>
    <t>Mobiliario y equipo</t>
  </si>
  <si>
    <t>12,748.20</t>
  </si>
  <si>
    <t>Exigible</t>
  </si>
  <si>
    <t xml:space="preserve">Inversiones </t>
  </si>
  <si>
    <t>5,000.00</t>
  </si>
  <si>
    <t>Alquileres pagados por anticipación</t>
  </si>
  <si>
    <t>4,000.00</t>
  </si>
  <si>
    <t>Marta Lopez</t>
  </si>
  <si>
    <t xml:space="preserve">Bienes inmuebles </t>
  </si>
  <si>
    <t>225,000.00</t>
  </si>
  <si>
    <t>Mario Andrade</t>
  </si>
  <si>
    <t>Gastos de organización</t>
  </si>
  <si>
    <t>2,168.26</t>
  </si>
  <si>
    <t>Antonio Ruano</t>
  </si>
  <si>
    <t>Proveedores</t>
  </si>
  <si>
    <t>41,000.00</t>
  </si>
  <si>
    <t xml:space="preserve">Letras de cambio de Irma Morales 800.00 c/u </t>
  </si>
  <si>
    <t>Documentos por pagar</t>
  </si>
  <si>
    <t>20,000.00</t>
  </si>
  <si>
    <t xml:space="preserve">Pagare de Ruben Martinez </t>
  </si>
  <si>
    <t>Préstamo bancario</t>
  </si>
  <si>
    <t>100,000.00</t>
  </si>
  <si>
    <t>IVA</t>
  </si>
  <si>
    <t>Patrimonio Neto</t>
  </si>
  <si>
    <t>12% de 323319,36 segun facturas del poder de la empresa</t>
  </si>
  <si>
    <t>Realizable</t>
  </si>
  <si>
    <t>Mercaderias</t>
  </si>
  <si>
    <t xml:space="preserve">Marca sharp </t>
  </si>
  <si>
    <t>Televisores de 24" a color a 3035.71  c/u</t>
  </si>
  <si>
    <t xml:space="preserve">Marca Hot Point </t>
  </si>
  <si>
    <t xml:space="preserve">TElevisores de 19" a color a  1517.86 c/u </t>
  </si>
  <si>
    <t xml:space="preserve">TElevisores de 14" a color a  714.29 c/u </t>
  </si>
  <si>
    <r>
      <rPr>
        <b/>
        <sz val="11"/>
        <color rgb="FF000000"/>
        <rFont val="Calibri"/>
        <scheme val="minor"/>
      </rPr>
      <t>Marca Sanyo b/n</t>
    </r>
    <r>
      <rPr>
        <sz val="11"/>
        <color rgb="FF000000"/>
        <rFont val="Calibri"/>
        <scheme val="minor"/>
      </rPr>
      <t xml:space="preserve"> </t>
    </r>
  </si>
  <si>
    <t>Televisores de 20" a color a 580.36 c/u</t>
  </si>
  <si>
    <t>Televisores de 19" a color a 535.71 c/u</t>
  </si>
  <si>
    <t xml:space="preserve">Marca General Electric </t>
  </si>
  <si>
    <t xml:space="preserve"> radiograbadoras grandes  a 714.29 c/u</t>
  </si>
  <si>
    <t>radiograbadoras medinas   446.43 c/u</t>
  </si>
  <si>
    <t>Marca Toshiba</t>
  </si>
  <si>
    <t>Radios grandes de 4 bandas a  513.39 c/u</t>
  </si>
  <si>
    <t>Radios medianos de 2 bandas 401.79 c/u</t>
  </si>
  <si>
    <t>6026.85</t>
  </si>
  <si>
    <t>Marca casio</t>
  </si>
  <si>
    <t>equipos de sonio a 1428.57 c/u</t>
  </si>
  <si>
    <t xml:space="preserve">Marca Philips </t>
  </si>
  <si>
    <t>licuadoras de 6 velocidades 312.50 c/u</t>
  </si>
  <si>
    <t>Procesadores de alimentos  a 339.29 c/u</t>
  </si>
  <si>
    <t>Extranctores de jugos a 357.14 c/u</t>
  </si>
  <si>
    <t>planchas a 89.29 c/u</t>
  </si>
  <si>
    <t>Marca Continental</t>
  </si>
  <si>
    <t>Refrigeradoras de 9´  a   1607.14 c/u</t>
  </si>
  <si>
    <t>Refrigeradoras de 11´ a 1785.71 c/u</t>
  </si>
  <si>
    <t>Valores Mobiliarios</t>
  </si>
  <si>
    <t>Acciones de Capitales e Inversiones, S.A. c/u Q.500.00</t>
  </si>
  <si>
    <t>Alquileres pagados por anticipado</t>
  </si>
  <si>
    <t>Factura No.98564 de la empresa Cuentas, S.A. por alquiler 
de una bodeguita,  se cancelan 4 meses a razón de Q. 892.86 cada mes</t>
  </si>
  <si>
    <t xml:space="preserve">No corriente </t>
  </si>
  <si>
    <t xml:space="preserve">vehiculos </t>
  </si>
  <si>
    <t>1 panel marca Toyota de una tonelada, 
color gris, modelo 97’</t>
  </si>
  <si>
    <t>pick-up marca Toyota de media tonelada, color blanco, modelo 98’, chassis R-45679235, motor G-9876545672</t>
  </si>
  <si>
    <t>Mobilario y equipo</t>
  </si>
  <si>
    <t>Mostradores medianos de madera con vidrio 517.86 c/u</t>
  </si>
  <si>
    <t>Estantes de madera  321,43 c/u</t>
  </si>
  <si>
    <t xml:space="preserve"> vitrinas de aluminio y vidrio  758,93 c/u</t>
  </si>
  <si>
    <t xml:space="preserve">Maquina registradora </t>
  </si>
  <si>
    <t xml:space="preserve">Mesa alta de madera para la maquina registradora </t>
  </si>
  <si>
    <t>calculadoras marca casio de mesa  356.25  c/u</t>
  </si>
  <si>
    <t xml:space="preserve">Maquina de escribir de mesa </t>
  </si>
  <si>
    <t>Escritorios secretariales de metal marca prometal  535,71 c/u</t>
  </si>
  <si>
    <t>Archivo de metal de 4 compartimientos marca imperio</t>
  </si>
  <si>
    <t xml:space="preserve">Sillas de metal con respaldo y asiento de esponja 178,57 c/u </t>
  </si>
  <si>
    <t>Casa ubicada en la 4a. calle 12-45 de la 
zona 1, No.155768, folio 1546 del libro 346, registrada en la matrícula fiscal bajo el número 
87659-3</t>
  </si>
  <si>
    <t>Gastos de organizacion</t>
  </si>
  <si>
    <t>Librosde contabilidad  según factura No.96845 de Librería La Helvetia 35,71 c/u</t>
  </si>
  <si>
    <t>recibo de la Dirección General de Rentas Internas por habilitación de los libros</t>
  </si>
  <si>
    <t>recibo del 
Registro Mercantil por autorización de los libros</t>
  </si>
  <si>
    <t>Incripcion de la empresa</t>
  </si>
  <si>
    <t>Instalaccion electrica</t>
  </si>
  <si>
    <t>Pintura del local</t>
  </si>
  <si>
    <t>Suma del activo</t>
  </si>
  <si>
    <t>PASIVO</t>
  </si>
  <si>
    <t xml:space="preserve">proveedores </t>
  </si>
  <si>
    <t>A el Tirador adeuda por ejemlo el sonidom licuadoras.</t>
  </si>
  <si>
    <t>De las mercaderias adeuda a La curacao</t>
  </si>
  <si>
    <t>cuentas por paar muebles prometal</t>
  </si>
  <si>
    <t>Cuentas por pagar</t>
  </si>
  <si>
    <t>muebles prometal</t>
  </si>
  <si>
    <t xml:space="preserve">Documentos por pagar </t>
  </si>
  <si>
    <t>Letras de cambio a Cidea por vehiculos  2000.00 c/u</t>
  </si>
  <si>
    <t>Prestamos Bancario</t>
  </si>
  <si>
    <t xml:space="preserve"> Préstamo Bancario No.65-7893. a Banco Uno, S.A.</t>
  </si>
  <si>
    <t>Suma del pasivo</t>
  </si>
  <si>
    <t>Suma del Pasivo y Patrimonio Neto</t>
  </si>
  <si>
    <t>De conformidad con los datos anterioresm el Patrimoinio Neto del Almacen la Independencia , propiedad del señor asciende a la cantidad de seicientos sesenta y un mil ochocientos seis quetzales con sesenta y cuatro quetzales  Q661806,64</t>
  </si>
  <si>
    <t>F:</t>
  </si>
  <si>
    <t>Eddy Boch</t>
  </si>
  <si>
    <t>Perito Contador</t>
  </si>
  <si>
    <t>Indalecio Blanco M.</t>
  </si>
  <si>
    <t>Propietario</t>
  </si>
  <si>
    <t>Nombre del Contador</t>
  </si>
  <si>
    <t>Perito Contador Nit:</t>
  </si>
  <si>
    <t>Faustino Cárdenas</t>
  </si>
  <si>
    <t>Leer Art. 373 y 374 Cod. Comercio  Decreto 2-70</t>
  </si>
  <si>
    <t>BALANCE EN FORMA DE REPORTE(haya a doble folio pero trabajaremos en forma de reporte)</t>
  </si>
  <si>
    <t>LIBRO DE ESTADOS FINANCEROS</t>
  </si>
  <si>
    <t>BALANCE DE SITUACIÓN GENERAL DE APERTURA AL 01 DE ENERO DE 2026</t>
  </si>
  <si>
    <t>CIFRAS EN QUETZALES</t>
  </si>
  <si>
    <t>Libro de Balance de situación General de apertura al 01 de febrero de 2019</t>
  </si>
  <si>
    <t>Corriente</t>
  </si>
  <si>
    <t>Disponilble</t>
  </si>
  <si>
    <t xml:space="preserve">Bancos </t>
  </si>
  <si>
    <t xml:space="preserve">Clientes </t>
  </si>
  <si>
    <t xml:space="preserve">Mercaderias </t>
  </si>
  <si>
    <t>Valores mobiliarios</t>
  </si>
  <si>
    <t>No corriente</t>
  </si>
  <si>
    <t xml:space="preserve">Mobiliario y equipo </t>
  </si>
  <si>
    <t>Vehiculos</t>
  </si>
  <si>
    <t>Inmubles</t>
  </si>
  <si>
    <t>Suma de activo</t>
  </si>
  <si>
    <t>Pasivo</t>
  </si>
  <si>
    <t xml:space="preserve">Cuentas por pagar </t>
  </si>
  <si>
    <t xml:space="preserve">NO corriente </t>
  </si>
  <si>
    <t xml:space="preserve">Prestamos bancarios </t>
  </si>
  <si>
    <t>Suma del Pasivo</t>
  </si>
  <si>
    <t>Suma del pasivo y Patrimonio neto</t>
  </si>
  <si>
    <t>Indalecio Blanco Moreno</t>
  </si>
  <si>
    <t>Nota: El balance de situación General de apertura anterior se estructuró de acuerdo</t>
  </si>
  <si>
    <t xml:space="preserve">con  el grado de liquidez de la empresa y en forma de tres elementos, balance de </t>
  </si>
  <si>
    <t>situación general de reporte: Activo, Pasivo y Patrimonio.</t>
  </si>
  <si>
    <t>Almacen la Independencia</t>
  </si>
  <si>
    <t>Pda 1</t>
  </si>
  <si>
    <t>Dia 1</t>
  </si>
  <si>
    <t>Iva</t>
  </si>
  <si>
    <t>Inmuebles</t>
  </si>
  <si>
    <t>Prestamos Bancarios</t>
  </si>
  <si>
    <t>Patrimomnio neto</t>
  </si>
  <si>
    <t>valores y obligaciones con que inicia sus operaciones mercaniles, almacen el Universal segun, balance de situacion general de apertura a esta fecha</t>
  </si>
  <si>
    <t>pda2</t>
  </si>
  <si>
    <t>caja</t>
  </si>
  <si>
    <t xml:space="preserve">ventas </t>
  </si>
  <si>
    <t>Iva por pagar sobre facturas especiales</t>
  </si>
  <si>
    <t>Facturas de la No. 0001 a la 0020.</t>
  </si>
  <si>
    <t>pda3</t>
  </si>
  <si>
    <t>Dia2</t>
  </si>
  <si>
    <t xml:space="preserve"> Se deposita en el banco G &amp; T Continental el total de lo cobrado el día 1, boleta 
de depósito No. 3684</t>
  </si>
  <si>
    <t>Pda4</t>
  </si>
  <si>
    <t>Dia 4</t>
  </si>
  <si>
    <t xml:space="preserve">Seguros pagados por anticipado </t>
  </si>
  <si>
    <t xml:space="preserve">Iva por pagar </t>
  </si>
  <si>
    <t>Pda5</t>
  </si>
  <si>
    <t xml:space="preserve">Se compra seguro pagado anticipado por 6 meses Factura No. 13281 y cheque No. 001 del Banco G &amp; T Continental. </t>
  </si>
  <si>
    <t>Dia 6</t>
  </si>
  <si>
    <t>Compras</t>
  </si>
  <si>
    <t>Iva por cobrar</t>
  </si>
  <si>
    <t xml:space="preserve">Se compran mercaderias al cretito una parte y se paga con cheque numero de Factura. NO 2836 </t>
  </si>
  <si>
    <t>Pda6</t>
  </si>
  <si>
    <t>Dia 9</t>
  </si>
  <si>
    <t>La señora Marta Lopez nos cancela recibo NO.0001</t>
  </si>
  <si>
    <t>Pda7</t>
  </si>
  <si>
    <t>Dia 10</t>
  </si>
  <si>
    <t>Abonamos a la Curacao con chque No.003 el banco G&amp;T, recibo de caja NO.785</t>
  </si>
  <si>
    <t>Pda8</t>
  </si>
  <si>
    <t>Dia 15</t>
  </si>
  <si>
    <t>Irma Morales nos canela con cheque No.39597 una letra de cambio Recibo No,00002</t>
  </si>
  <si>
    <t>Pda9</t>
  </si>
  <si>
    <t>Dia16</t>
  </si>
  <si>
    <t>Cancelamos a cidea una letra de cambio recibo No.4785</t>
  </si>
  <si>
    <t>Pda10</t>
  </si>
  <si>
    <t>Dia 20</t>
  </si>
  <si>
    <t xml:space="preserve">Ventas </t>
  </si>
  <si>
    <t>Iva por pagar</t>
  </si>
  <si>
    <t>Se venden mercaderias al contado factura No.0021 la 0030</t>
  </si>
  <si>
    <t>Pda11</t>
  </si>
  <si>
    <t>Dia 21</t>
  </si>
  <si>
    <t xml:space="preserve"> Se deposita en el banco el total de lo cobrado el día 20, boleta de depósito 
No. 62154. </t>
  </si>
  <si>
    <t>Pda12</t>
  </si>
  <si>
    <t>Dia 30</t>
  </si>
  <si>
    <t xml:space="preserve">HIpotecas </t>
  </si>
  <si>
    <t>Gastos por interesses</t>
  </si>
  <si>
    <t>Abonamos al banco Q.5,000.00 de la Hipoteca, más intereses del 21% 
correspondientes a 30 días con el cheque No.004</t>
  </si>
  <si>
    <t>LIBRO MAYOR</t>
  </si>
  <si>
    <t>Libro Mator a un Folio Cifras en Quetzales</t>
  </si>
  <si>
    <t>FO 1</t>
  </si>
  <si>
    <t>Dia</t>
  </si>
  <si>
    <t>CUENTAS</t>
  </si>
  <si>
    <t>DEBE</t>
  </si>
  <si>
    <t>HABER</t>
  </si>
  <si>
    <t>SALDO</t>
  </si>
  <si>
    <t>pda</t>
  </si>
  <si>
    <t>A varias cuentas</t>
  </si>
  <si>
    <t>Por bancos</t>
  </si>
  <si>
    <t>Por cllientes</t>
  </si>
  <si>
    <t>Por documentos por pagar</t>
  </si>
  <si>
    <t>FO 2</t>
  </si>
  <si>
    <t>Por proveedores</t>
  </si>
  <si>
    <t>Por documentos por cobrar</t>
  </si>
  <si>
    <t>Por caja</t>
  </si>
  <si>
    <t>FO 3</t>
  </si>
  <si>
    <t>FO 4</t>
  </si>
  <si>
    <t>FO 5</t>
  </si>
  <si>
    <t>FO 6</t>
  </si>
  <si>
    <t>FO 7</t>
  </si>
  <si>
    <t>FO 8</t>
  </si>
  <si>
    <t>FO 9</t>
  </si>
  <si>
    <t>FO 10</t>
  </si>
  <si>
    <t>FO 11</t>
  </si>
  <si>
    <t>FO 12</t>
  </si>
  <si>
    <t>FO 13</t>
  </si>
  <si>
    <t xml:space="preserve">FO 14 </t>
  </si>
  <si>
    <t>FO 15</t>
  </si>
  <si>
    <t>FO 16</t>
  </si>
  <si>
    <t xml:space="preserve">FO 17 </t>
  </si>
  <si>
    <t>Q.500806,38</t>
  </si>
  <si>
    <t>FO 18</t>
  </si>
  <si>
    <t>Ventas</t>
  </si>
  <si>
    <t>FO 19</t>
  </si>
  <si>
    <t>FO 20</t>
  </si>
  <si>
    <t>Seguros pagados pro anticipado</t>
  </si>
  <si>
    <t>FO 21</t>
  </si>
  <si>
    <t>FO 22</t>
  </si>
  <si>
    <t>Hipotecas</t>
  </si>
  <si>
    <t>FO 23</t>
  </si>
  <si>
    <t>Gastos por intereses</t>
  </si>
  <si>
    <t>BALANZA DE COMPROBACION DEL 1 AL 31 DE ENERO DE 2026</t>
  </si>
  <si>
    <t>No.  De
Folios</t>
  </si>
  <si>
    <t>CUENTA</t>
  </si>
  <si>
    <t> </t>
  </si>
  <si>
    <t>MOVIMIENTOS
(SUMAS)</t>
  </si>
  <si>
    <t>SALDOS</t>
  </si>
  <si>
    <t>DEUDOR</t>
  </si>
  <si>
    <t>ACREEDOR</t>
  </si>
  <si>
    <t> 23392,50</t>
  </si>
  <si>
    <t>clientes</t>
  </si>
  <si>
    <t> IVA</t>
  </si>
  <si>
    <t> Valores Mobiliarios</t>
  </si>
  <si>
    <t> Alquileres pagados por anticipado</t>
  </si>
  <si>
    <t> Mobiliario y equipo</t>
  </si>
  <si>
    <t> Vehiculos</t>
  </si>
  <si>
    <t> 114285,70</t>
  </si>
  <si>
    <t> Inmuebles</t>
  </si>
  <si>
    <t> 252000</t>
  </si>
  <si>
    <t> Gastos de organizacion</t>
  </si>
  <si>
    <t> 2168,26</t>
  </si>
  <si>
    <t> proveedores</t>
  </si>
  <si>
    <t> Cuentas por pagar</t>
  </si>
  <si>
    <t> Documentos por pagar</t>
  </si>
  <si>
    <t> Prestamos Bancarios</t>
  </si>
  <si>
    <t> Patrimonio Neto</t>
  </si>
  <si>
    <t> Ventas</t>
  </si>
  <si>
    <t> IVA por pagar sobre factruas especiales</t>
  </si>
  <si>
    <t> Seguros pagados pro anticipado</t>
  </si>
  <si>
    <t> Hipotecas</t>
  </si>
  <si>
    <t> Gastos por intereses</t>
  </si>
  <si>
    <t> =</t>
  </si>
  <si>
    <t>472,718.88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</si>
</sst>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Q&quot;* #,##0.00_-;\-&quot;Q&quot;* #,##0.00_-;_-&quot;Q&quot;* &quot;-&quot;??_-;_-@_-"/>
    <numFmt numFmtId="165" formatCode="0.0000"/>
    <numFmt numFmtId="166" formatCode="[$Q-100A]#,##0.00"/>
    <numFmt numFmtId="167" formatCode="_-[$Q-100A]* #,##0.00_-;\-[$Q-100A]* #,##0.00_-;_-[$Q-100A]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8"/>
      <color rgb="FF000000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double">
        <color rgb="FFFF0000"/>
      </top>
      <bottom/>
      <diagonal/>
    </border>
    <border>
      <left/>
      <right/>
      <top/>
      <bottom style="thick">
        <color rgb="FF002060"/>
      </bottom>
      <diagonal/>
    </border>
    <border>
      <left/>
      <right/>
      <top style="thick">
        <color rgb="FF002060"/>
      </top>
      <bottom/>
      <diagonal/>
    </border>
    <border>
      <left style="thin">
        <color rgb="FFFF0000"/>
      </left>
      <right style="thick">
        <color rgb="FF002060"/>
      </right>
      <top style="double">
        <color rgb="FFFF0000"/>
      </top>
      <bottom/>
      <diagonal/>
    </border>
    <border>
      <left style="thin">
        <color rgb="FFFF0000"/>
      </left>
      <right style="thick">
        <color rgb="FF002060"/>
      </right>
      <top/>
      <bottom/>
      <diagonal/>
    </border>
    <border>
      <left style="thin">
        <color rgb="FFFF0000"/>
      </left>
      <right style="thick">
        <color rgb="FF002060"/>
      </right>
      <top/>
      <bottom style="medium">
        <color rgb="FFFF0000"/>
      </bottom>
      <diagonal/>
    </border>
    <border>
      <left style="thin">
        <color rgb="FFFF0000"/>
      </left>
      <right style="thick">
        <color rgb="FF00206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ck">
        <color rgb="FF002060"/>
      </right>
      <top/>
      <bottom style="thin">
        <color indexed="64"/>
      </bottom>
      <diagonal/>
    </border>
    <border>
      <left style="thick">
        <color rgb="FF002060"/>
      </left>
      <right style="double">
        <color rgb="FFFF0000"/>
      </right>
      <top style="double">
        <color rgb="FFFF0000"/>
      </top>
      <bottom/>
      <diagonal/>
    </border>
    <border>
      <left style="thick">
        <color rgb="FF00206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thick">
        <color rgb="FF002060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/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002060"/>
      </bottom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medium">
        <color rgb="FF002060"/>
      </bottom>
      <diagonal/>
    </border>
    <border>
      <left style="double">
        <color rgb="FFFF0000"/>
      </left>
      <right style="double">
        <color rgb="FFFF0000"/>
      </right>
      <top style="thick">
        <color rgb="FF002060"/>
      </top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theme="8" tint="-0.499984740745262"/>
      </right>
      <top/>
      <bottom/>
      <diagonal/>
    </border>
    <border>
      <left style="thin">
        <color theme="8" tint="-0.499984740745262"/>
      </left>
      <right style="thin">
        <color rgb="FFFF0000"/>
      </right>
      <top/>
      <bottom/>
      <diagonal/>
    </border>
    <border>
      <left/>
      <right/>
      <top/>
      <bottom style="thin">
        <color theme="8" tint="-0.499984740745262"/>
      </bottom>
      <diagonal/>
    </border>
    <border>
      <left style="thin">
        <color rgb="FFFF0000"/>
      </left>
      <right style="thin">
        <color theme="8" tint="-0.499984740745262"/>
      </right>
      <top/>
      <bottom style="thin">
        <color rgb="FFFF0000"/>
      </bottom>
      <diagonal/>
    </border>
    <border>
      <left style="double">
        <color rgb="FFFF0000"/>
      </left>
      <right style="double">
        <color rgb="FFFF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uble">
        <color rgb="FFFF0000"/>
      </left>
      <right/>
      <top/>
      <bottom/>
      <diagonal/>
    </border>
    <border>
      <left style="thick">
        <color rgb="FF002060"/>
      </left>
      <right/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0" fontId="0" fillId="0" borderId="5" xfId="0" applyBorder="1"/>
    <xf numFmtId="0" fontId="0" fillId="0" borderId="5" xfId="0" applyFill="1" applyBorder="1"/>
    <xf numFmtId="0" fontId="0" fillId="0" borderId="6" xfId="0" applyBorder="1"/>
    <xf numFmtId="0" fontId="0" fillId="0" borderId="9" xfId="0" applyFill="1" applyBorder="1"/>
    <xf numFmtId="0" fontId="0" fillId="0" borderId="8" xfId="0" applyFill="1" applyBorder="1"/>
    <xf numFmtId="0" fontId="0" fillId="0" borderId="8" xfId="0" applyBorder="1" applyAlignment="1">
      <alignment wrapText="1"/>
    </xf>
    <xf numFmtId="0" fontId="1" fillId="0" borderId="0" xfId="0" applyFont="1"/>
    <xf numFmtId="0" fontId="0" fillId="0" borderId="12" xfId="0" applyFill="1" applyBorder="1"/>
    <xf numFmtId="0" fontId="0" fillId="0" borderId="13" xfId="0" applyBorder="1" applyAlignment="1">
      <alignment horizontal="justify" vertical="center"/>
    </xf>
    <xf numFmtId="0" fontId="0" fillId="0" borderId="13" xfId="0" applyFill="1" applyBorder="1"/>
    <xf numFmtId="0" fontId="1" fillId="0" borderId="13" xfId="0" applyFont="1" applyFill="1" applyBorder="1"/>
    <xf numFmtId="0" fontId="2" fillId="0" borderId="13" xfId="0" applyFont="1" applyFill="1" applyBorder="1"/>
    <xf numFmtId="0" fontId="0" fillId="0" borderId="13" xfId="0" applyBorder="1"/>
    <xf numFmtId="0" fontId="0" fillId="0" borderId="13" xfId="0" applyBorder="1" applyAlignment="1">
      <alignment wrapText="1"/>
    </xf>
    <xf numFmtId="0" fontId="1" fillId="0" borderId="13" xfId="0" applyFont="1" applyFill="1" applyBorder="1" applyAlignment="1">
      <alignment horizontal="center"/>
    </xf>
    <xf numFmtId="0" fontId="0" fillId="0" borderId="8" xfId="0" applyFill="1" applyBorder="1" applyAlignment="1">
      <alignment wrapText="1"/>
    </xf>
    <xf numFmtId="0" fontId="0" fillId="0" borderId="9" xfId="0" applyFill="1" applyBorder="1" applyAlignment="1">
      <alignment wrapText="1"/>
    </xf>
    <xf numFmtId="2" fontId="0" fillId="0" borderId="0" xfId="0" applyNumberFormat="1"/>
    <xf numFmtId="2" fontId="0" fillId="0" borderId="5" xfId="0" applyNumberFormat="1" applyBorder="1"/>
    <xf numFmtId="2" fontId="1" fillId="0" borderId="0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6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164" fontId="0" fillId="0" borderId="0" xfId="0" applyNumberFormat="1"/>
    <xf numFmtId="0" fontId="0" fillId="0" borderId="11" xfId="0" applyFont="1" applyFill="1" applyBorder="1" applyAlignment="1">
      <alignment wrapText="1"/>
    </xf>
    <xf numFmtId="2" fontId="0" fillId="0" borderId="17" xfId="0" applyNumberFormat="1" applyBorder="1"/>
    <xf numFmtId="0" fontId="0" fillId="0" borderId="0" xfId="0" applyBorder="1"/>
    <xf numFmtId="2" fontId="0" fillId="0" borderId="19" xfId="0" applyNumberFormat="1" applyBorder="1"/>
    <xf numFmtId="2" fontId="0" fillId="0" borderId="20" xfId="0" applyNumberFormat="1" applyBorder="1"/>
    <xf numFmtId="0" fontId="0" fillId="0" borderId="1" xfId="0" applyBorder="1"/>
    <xf numFmtId="0" fontId="1" fillId="0" borderId="10" xfId="0" applyFont="1" applyFill="1" applyBorder="1"/>
    <xf numFmtId="0" fontId="1" fillId="0" borderId="9" xfId="0" applyFont="1" applyFill="1" applyBorder="1"/>
    <xf numFmtId="0" fontId="1" fillId="0" borderId="8" xfId="0" applyFont="1" applyFill="1" applyBorder="1" applyAlignment="1">
      <alignment wrapText="1"/>
    </xf>
    <xf numFmtId="0" fontId="1" fillId="0" borderId="9" xfId="0" applyFont="1" applyFill="1" applyBorder="1" applyAlignment="1">
      <alignment horizontal="center"/>
    </xf>
    <xf numFmtId="2" fontId="0" fillId="0" borderId="9" xfId="0" applyNumberFormat="1" applyFill="1" applyBorder="1" applyAlignment="1">
      <alignment wrapText="1"/>
    </xf>
    <xf numFmtId="0" fontId="6" fillId="3" borderId="0" xfId="0" applyFont="1" applyFill="1"/>
    <xf numFmtId="0" fontId="6" fillId="3" borderId="0" xfId="0" applyFont="1" applyFill="1" applyBorder="1"/>
    <xf numFmtId="0" fontId="5" fillId="3" borderId="10" xfId="0" applyFont="1" applyFill="1" applyBorder="1"/>
    <xf numFmtId="0" fontId="7" fillId="0" borderId="11" xfId="0" applyFont="1" applyFill="1" applyBorder="1"/>
    <xf numFmtId="0" fontId="8" fillId="0" borderId="8" xfId="0" applyFont="1" applyFill="1" applyBorder="1"/>
    <xf numFmtId="0" fontId="0" fillId="0" borderId="8" xfId="0" applyFont="1" applyFill="1" applyBorder="1" applyAlignment="1">
      <alignment wrapText="1"/>
    </xf>
    <xf numFmtId="0" fontId="1" fillId="3" borderId="10" xfId="0" applyFont="1" applyFill="1" applyBorder="1"/>
    <xf numFmtId="0" fontId="0" fillId="0" borderId="0" xfId="0" applyFont="1"/>
    <xf numFmtId="0" fontId="0" fillId="3" borderId="4" xfId="0" applyFont="1" applyFill="1" applyBorder="1"/>
    <xf numFmtId="0" fontId="0" fillId="3" borderId="1" xfId="0" applyFont="1" applyFill="1" applyBorder="1" applyAlignment="1">
      <alignment horizontal="center"/>
    </xf>
    <xf numFmtId="0" fontId="0" fillId="3" borderId="7" xfId="0" applyFont="1" applyFill="1" applyBorder="1"/>
    <xf numFmtId="0" fontId="0" fillId="3" borderId="12" xfId="0" applyFont="1" applyFill="1" applyBorder="1"/>
    <xf numFmtId="2" fontId="0" fillId="3" borderId="16" xfId="0" applyNumberFormat="1" applyFont="1" applyFill="1" applyBorder="1"/>
    <xf numFmtId="0" fontId="0" fillId="3" borderId="3" xfId="0" applyFont="1" applyFill="1" applyBorder="1"/>
    <xf numFmtId="0" fontId="0" fillId="3" borderId="8" xfId="0" applyFont="1" applyFill="1" applyBorder="1" applyAlignment="1">
      <alignment horizontal="justify" vertical="center"/>
    </xf>
    <xf numFmtId="0" fontId="0" fillId="3" borderId="13" xfId="0" applyFont="1" applyFill="1" applyBorder="1" applyAlignment="1">
      <alignment horizontal="justify" vertical="center"/>
    </xf>
    <xf numFmtId="2" fontId="0" fillId="3" borderId="14" xfId="0" applyNumberFormat="1" applyFont="1" applyFill="1" applyBorder="1"/>
    <xf numFmtId="0" fontId="1" fillId="3" borderId="21" xfId="0" applyFont="1" applyFill="1" applyBorder="1"/>
    <xf numFmtId="2" fontId="0" fillId="3" borderId="23" xfId="0" applyNumberFormat="1" applyFont="1" applyFill="1" applyBorder="1"/>
    <xf numFmtId="0" fontId="0" fillId="3" borderId="3" xfId="0" applyFont="1" applyFill="1" applyBorder="1" applyAlignment="1">
      <alignment wrapText="1"/>
    </xf>
    <xf numFmtId="2" fontId="0" fillId="3" borderId="15" xfId="0" applyNumberFormat="1" applyFont="1" applyFill="1" applyBorder="1"/>
    <xf numFmtId="0" fontId="1" fillId="3" borderId="10" xfId="0" applyFont="1" applyFill="1" applyBorder="1" applyAlignment="1">
      <alignment wrapText="1"/>
    </xf>
    <xf numFmtId="0" fontId="0" fillId="3" borderId="0" xfId="0" applyFont="1" applyFill="1"/>
    <xf numFmtId="2" fontId="0" fillId="3" borderId="24" xfId="0" applyNumberFormat="1" applyFont="1" applyFill="1" applyBorder="1"/>
    <xf numFmtId="0" fontId="1" fillId="3" borderId="1" xfId="0" applyFont="1" applyFill="1" applyBorder="1" applyAlignment="1">
      <alignment horizontal="center" wrapText="1"/>
    </xf>
    <xf numFmtId="2" fontId="0" fillId="3" borderId="19" xfId="0" applyNumberFormat="1" applyFont="1" applyFill="1" applyBorder="1"/>
    <xf numFmtId="2" fontId="0" fillId="3" borderId="0" xfId="0" applyNumberFormat="1" applyFont="1" applyFill="1"/>
    <xf numFmtId="0" fontId="0" fillId="0" borderId="3" xfId="0" applyFont="1" applyBorder="1"/>
    <xf numFmtId="0" fontId="0" fillId="0" borderId="8" xfId="0" applyFont="1" applyBorder="1" applyAlignment="1">
      <alignment horizontal="justify" vertical="center"/>
    </xf>
    <xf numFmtId="0" fontId="0" fillId="0" borderId="13" xfId="0" applyFont="1" applyBorder="1" applyAlignment="1">
      <alignment horizontal="justify" vertical="center"/>
    </xf>
    <xf numFmtId="2" fontId="0" fillId="0" borderId="14" xfId="0" applyNumberFormat="1" applyFont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2" fontId="0" fillId="0" borderId="22" xfId="0" applyNumberFormat="1" applyBorder="1"/>
    <xf numFmtId="2" fontId="1" fillId="0" borderId="0" xfId="0" applyNumberFormat="1" applyFont="1"/>
    <xf numFmtId="2" fontId="0" fillId="0" borderId="5" xfId="0" applyNumberFormat="1" applyFill="1" applyBorder="1"/>
    <xf numFmtId="2" fontId="0" fillId="0" borderId="12" xfId="0" applyNumberFormat="1" applyFill="1" applyBorder="1"/>
    <xf numFmtId="2" fontId="0" fillId="0" borderId="13" xfId="0" applyNumberFormat="1" applyBorder="1"/>
    <xf numFmtId="2" fontId="0" fillId="0" borderId="13" xfId="0" applyNumberFormat="1" applyFill="1" applyBorder="1"/>
    <xf numFmtId="0" fontId="0" fillId="0" borderId="0" xfId="0" applyFill="1"/>
    <xf numFmtId="2" fontId="0" fillId="0" borderId="0" xfId="0" applyNumberFormat="1" applyFill="1"/>
    <xf numFmtId="0" fontId="0" fillId="0" borderId="0" xfId="0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8" xfId="0" applyBorder="1"/>
    <xf numFmtId="0" fontId="0" fillId="0" borderId="28" xfId="0" applyBorder="1"/>
    <xf numFmtId="0" fontId="0" fillId="0" borderId="29" xfId="0" applyBorder="1"/>
    <xf numFmtId="0" fontId="0" fillId="0" borderId="0" xfId="0" applyFont="1" applyFill="1"/>
    <xf numFmtId="165" fontId="0" fillId="0" borderId="13" xfId="0" applyNumberFormat="1" applyFont="1" applyFill="1" applyBorder="1"/>
    <xf numFmtId="2" fontId="0" fillId="0" borderId="0" xfId="0" applyNumberFormat="1" applyFont="1" applyFill="1"/>
    <xf numFmtId="2" fontId="0" fillId="0" borderId="0" xfId="0" applyNumberFormat="1" applyFont="1"/>
    <xf numFmtId="0" fontId="9" fillId="0" borderId="0" xfId="0" applyFont="1" applyAlignment="1">
      <alignment horizontal="center"/>
    </xf>
    <xf numFmtId="164" fontId="0" fillId="0" borderId="28" xfId="0" applyNumberFormat="1" applyBorder="1"/>
    <xf numFmtId="164" fontId="0" fillId="0" borderId="25" xfId="0" applyNumberFormat="1" applyBorder="1"/>
    <xf numFmtId="164" fontId="0" fillId="0" borderId="3" xfId="0" applyNumberFormat="1" applyBorder="1"/>
    <xf numFmtId="2" fontId="0" fillId="3" borderId="0" xfId="0" applyNumberFormat="1" applyFont="1" applyFill="1" applyBorder="1"/>
    <xf numFmtId="2" fontId="0" fillId="2" borderId="14" xfId="0" applyNumberFormat="1" applyFill="1" applyBorder="1"/>
    <xf numFmtId="0" fontId="10" fillId="0" borderId="8" xfId="0" applyFont="1" applyFill="1" applyBorder="1" applyAlignment="1">
      <alignment wrapText="1"/>
    </xf>
    <xf numFmtId="0" fontId="11" fillId="0" borderId="9" xfId="0" applyFont="1" applyFill="1" applyBorder="1"/>
    <xf numFmtId="0" fontId="11" fillId="0" borderId="8" xfId="0" applyFont="1" applyFill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9" xfId="0" applyFont="1" applyFill="1" applyBorder="1"/>
    <xf numFmtId="0" fontId="10" fillId="0" borderId="9" xfId="0" applyFont="1" applyFill="1" applyBorder="1" applyAlignment="1">
      <alignment wrapText="1"/>
    </xf>
    <xf numFmtId="0" fontId="11" fillId="0" borderId="9" xfId="0" applyFont="1" applyFill="1" applyBorder="1" applyAlignment="1">
      <alignment wrapText="1"/>
    </xf>
    <xf numFmtId="0" fontId="12" fillId="0" borderId="0" xfId="0" applyFont="1"/>
    <xf numFmtId="2" fontId="0" fillId="0" borderId="0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14" xfId="0" applyNumberFormat="1" applyBorder="1" applyAlignment="1">
      <alignment wrapText="1"/>
    </xf>
    <xf numFmtId="2" fontId="0" fillId="0" borderId="15" xfId="0" applyNumberFormat="1" applyBorder="1" applyAlignment="1">
      <alignment wrapText="1"/>
    </xf>
    <xf numFmtId="2" fontId="0" fillId="0" borderId="32" xfId="0" applyNumberFormat="1" applyBorder="1"/>
    <xf numFmtId="0" fontId="0" fillId="0" borderId="33" xfId="0" applyBorder="1"/>
    <xf numFmtId="2" fontId="13" fillId="0" borderId="30" xfId="0" applyNumberFormat="1" applyFont="1" applyBorder="1"/>
    <xf numFmtId="2" fontId="0" fillId="0" borderId="34" xfId="0" applyNumberFormat="1" applyBorder="1"/>
    <xf numFmtId="0" fontId="14" fillId="0" borderId="35" xfId="0" applyFont="1" applyBorder="1"/>
    <xf numFmtId="0" fontId="14" fillId="0" borderId="35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6" fillId="0" borderId="35" xfId="0" applyFont="1" applyBorder="1"/>
    <xf numFmtId="0" fontId="16" fillId="0" borderId="35" xfId="0" applyFont="1" applyBorder="1" applyAlignment="1">
      <alignment wrapText="1"/>
    </xf>
    <xf numFmtId="0" fontId="0" fillId="0" borderId="35" xfId="0" applyBorder="1"/>
    <xf numFmtId="0" fontId="14" fillId="0" borderId="36" xfId="0" applyFont="1" applyBorder="1"/>
    <xf numFmtId="0" fontId="15" fillId="0" borderId="36" xfId="0" applyFont="1" applyBorder="1"/>
    <xf numFmtId="0" fontId="17" fillId="0" borderId="35" xfId="0" applyFont="1" applyBorder="1"/>
    <xf numFmtId="0" fontId="1" fillId="0" borderId="8" xfId="0" applyFont="1" applyBorder="1" applyAlignment="1">
      <alignment wrapText="1"/>
    </xf>
    <xf numFmtId="0" fontId="0" fillId="0" borderId="8" xfId="0" applyBorder="1" applyAlignment="1">
      <alignment horizontal="left" wrapText="1"/>
    </xf>
    <xf numFmtId="0" fontId="0" fillId="3" borderId="21" xfId="0" applyFont="1" applyFill="1" applyBorder="1"/>
    <xf numFmtId="0" fontId="1" fillId="3" borderId="3" xfId="0" applyFont="1" applyFill="1" applyBorder="1" applyAlignment="1">
      <alignment wrapText="1"/>
    </xf>
    <xf numFmtId="0" fontId="0" fillId="3" borderId="10" xfId="0" applyFont="1" applyFill="1" applyBorder="1" applyAlignment="1">
      <alignment wrapText="1"/>
    </xf>
    <xf numFmtId="0" fontId="0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0" fillId="3" borderId="3" xfId="0" applyFont="1" applyFill="1" applyBorder="1" applyAlignment="1">
      <alignment wrapText="1"/>
    </xf>
    <xf numFmtId="0" fontId="1" fillId="0" borderId="4" xfId="0" applyFont="1" applyFill="1" applyBorder="1" applyAlignment="1">
      <alignment horizontal="center"/>
    </xf>
    <xf numFmtId="0" fontId="0" fillId="0" borderId="2" xfId="0" applyBorder="1" applyAlignment="1">
      <alignment horizontal="left" indent="2"/>
    </xf>
    <xf numFmtId="0" fontId="12" fillId="0" borderId="0" xfId="0" applyFont="1" applyAlignment="1">
      <alignment wrapText="1"/>
    </xf>
    <xf numFmtId="0" fontId="0" fillId="0" borderId="2" xfId="0" applyFont="1" applyBorder="1" applyAlignment="1">
      <alignment horizontal="left" indent="2"/>
    </xf>
    <xf numFmtId="0" fontId="0" fillId="0" borderId="2" xfId="0" applyBorder="1" applyAlignment="1">
      <alignment wrapText="1"/>
    </xf>
    <xf numFmtId="0" fontId="0" fillId="0" borderId="2" xfId="0" applyFont="1" applyBorder="1" applyAlignment="1">
      <alignment horizontal="center" wrapText="1"/>
    </xf>
    <xf numFmtId="0" fontId="0" fillId="0" borderId="2" xfId="0" applyBorder="1" applyAlignment="1">
      <alignment indent="2"/>
    </xf>
    <xf numFmtId="0" fontId="0" fillId="0" borderId="2" xfId="0" applyFill="1" applyBorder="1" applyAlignment="1">
      <alignment horizontal="left" indent="2"/>
    </xf>
    <xf numFmtId="0" fontId="0" fillId="0" borderId="0" xfId="0" applyFill="1" applyBorder="1" applyAlignment="1">
      <alignment horizontal="left" indent="2"/>
    </xf>
    <xf numFmtId="0" fontId="1" fillId="0" borderId="0" xfId="0" applyFont="1" applyFill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0" xfId="0" applyFont="1" applyBorder="1"/>
    <xf numFmtId="0" fontId="18" fillId="0" borderId="0" xfId="0" applyFont="1" applyAlignment="1">
      <alignment horizontal="center"/>
    </xf>
    <xf numFmtId="0" fontId="0" fillId="3" borderId="27" xfId="0" applyFill="1" applyBorder="1"/>
    <xf numFmtId="0" fontId="0" fillId="3" borderId="2" xfId="0" applyFill="1" applyBorder="1"/>
    <xf numFmtId="0" fontId="20" fillId="3" borderId="0" xfId="0" applyFont="1" applyFill="1" applyBorder="1" applyAlignment="1">
      <alignment readingOrder="1"/>
    </xf>
    <xf numFmtId="0" fontId="21" fillId="3" borderId="0" xfId="0" applyFont="1" applyFill="1" applyBorder="1" applyAlignment="1"/>
    <xf numFmtId="0" fontId="21" fillId="3" borderId="40" xfId="0" applyFont="1" applyFill="1" applyBorder="1" applyAlignment="1">
      <alignment wrapText="1"/>
    </xf>
    <xf numFmtId="0" fontId="21" fillId="3" borderId="42" xfId="0" applyFont="1" applyFill="1" applyBorder="1" applyAlignment="1"/>
    <xf numFmtId="0" fontId="21" fillId="3" borderId="43" xfId="0" applyFont="1" applyFill="1" applyBorder="1" applyAlignment="1"/>
    <xf numFmtId="0" fontId="21" fillId="3" borderId="44" xfId="0" applyFont="1" applyFill="1" applyBorder="1" applyAlignment="1"/>
    <xf numFmtId="0" fontId="21" fillId="3" borderId="45" xfId="0" applyFont="1" applyFill="1" applyBorder="1" applyAlignment="1"/>
    <xf numFmtId="0" fontId="21" fillId="3" borderId="44" xfId="0" applyFont="1" applyFill="1" applyBorder="1" applyAlignment="1">
      <alignment wrapText="1"/>
    </xf>
    <xf numFmtId="166" fontId="21" fillId="3" borderId="44" xfId="0" applyNumberFormat="1" applyFont="1" applyFill="1" applyBorder="1" applyAlignment="1"/>
    <xf numFmtId="166" fontId="0" fillId="0" borderId="3" xfId="0" applyNumberFormat="1" applyBorder="1"/>
    <xf numFmtId="166" fontId="21" fillId="3" borderId="3" xfId="0" applyNumberFormat="1" applyFont="1" applyFill="1" applyBorder="1" applyAlignment="1"/>
    <xf numFmtId="166" fontId="21" fillId="3" borderId="43" xfId="0" applyNumberFormat="1" applyFont="1" applyFill="1" applyBorder="1" applyAlignment="1"/>
    <xf numFmtId="166" fontId="21" fillId="3" borderId="42" xfId="0" applyNumberFormat="1" applyFont="1" applyFill="1" applyBorder="1" applyAlignment="1"/>
    <xf numFmtId="166" fontId="21" fillId="3" borderId="45" xfId="0" applyNumberFormat="1" applyFont="1" applyFill="1" applyBorder="1" applyAlignment="1"/>
    <xf numFmtId="166" fontId="21" fillId="3" borderId="0" xfId="0" applyNumberFormat="1" applyFont="1" applyFill="1" applyBorder="1" applyAlignment="1"/>
    <xf numFmtId="0" fontId="21" fillId="3" borderId="41" xfId="0" applyFont="1" applyFill="1" applyBorder="1" applyAlignment="1"/>
    <xf numFmtId="0" fontId="21" fillId="3" borderId="40" xfId="0" applyFont="1" applyFill="1" applyBorder="1" applyAlignment="1"/>
    <xf numFmtId="0" fontId="21" fillId="3" borderId="38" xfId="0" applyFont="1" applyFill="1" applyBorder="1" applyAlignment="1">
      <alignment wrapText="1"/>
    </xf>
    <xf numFmtId="0" fontId="21" fillId="3" borderId="39" xfId="0" applyFont="1" applyFill="1" applyBorder="1" applyAlignment="1">
      <alignment wrapText="1"/>
    </xf>
    <xf numFmtId="0" fontId="19" fillId="0" borderId="37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21" fillId="3" borderId="41" xfId="0" applyFont="1" applyFill="1" applyBorder="1" applyAlignment="1">
      <alignment wrapText="1"/>
    </xf>
    <xf numFmtId="0" fontId="21" fillId="3" borderId="40" xfId="0" applyFont="1" applyFill="1" applyBorder="1" applyAlignment="1">
      <alignment wrapText="1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8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12" fillId="0" borderId="18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/>
    </xf>
    <xf numFmtId="0" fontId="0" fillId="3" borderId="18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2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167" fontId="21" fillId="3" borderId="44" xfId="0" applyNumberFormat="1" applyFont="1" applyFill="1" applyBorder="1" applyAlignment="1"/>
    <xf numFmtId="166" fontId="21" fillId="3" borderId="44" xfId="0" applyNumberFormat="1" applyFont="1" applyFill="1" applyBorder="1" applyAlignment="1">
      <alignment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opLeftCell="B1" zoomScale="132" zoomScaleNormal="148" workbookViewId="0">
      <selection activeCell="E93" sqref="E93"/>
    </sheetView>
  </sheetViews>
  <sheetFormatPr defaultColWidth="11.42578125" defaultRowHeight="14.45"/>
  <cols>
    <col min="2" max="2" width="27" bestFit="1" customWidth="1"/>
    <col min="3" max="3" width="46.7109375" customWidth="1"/>
    <col min="4" max="4" width="2" customWidth="1"/>
    <col min="5" max="5" width="11.42578125" style="22"/>
    <col min="6" max="6" width="11.85546875" style="22" bestFit="1" customWidth="1"/>
    <col min="7" max="7" width="32" bestFit="1" customWidth="1"/>
    <col min="8" max="8" width="13" bestFit="1" customWidth="1"/>
    <col min="10" max="10" width="4.42578125" customWidth="1"/>
    <col min="11" max="11" width="36.5703125" bestFit="1" customWidth="1"/>
  </cols>
  <sheetData>
    <row r="1" spans="2:13">
      <c r="C1" s="11" t="s">
        <v>0</v>
      </c>
      <c r="D1" s="11"/>
    </row>
    <row r="2" spans="2:13" ht="15" thickBot="1">
      <c r="B2" s="5"/>
      <c r="C2" s="6"/>
      <c r="D2" s="6"/>
      <c r="E2" s="23"/>
      <c r="F2" s="23"/>
    </row>
    <row r="3" spans="2:13" ht="15" thickTop="1">
      <c r="B3" s="7"/>
      <c r="C3" s="177" t="s">
        <v>1</v>
      </c>
      <c r="D3" s="177"/>
      <c r="E3" s="177"/>
      <c r="F3" s="177"/>
    </row>
    <row r="4" spans="2:13">
      <c r="C4" s="178" t="s">
        <v>2</v>
      </c>
      <c r="D4" s="178"/>
      <c r="E4" s="178"/>
      <c r="F4" s="178"/>
    </row>
    <row r="5" spans="2:13" ht="15" thickBot="1">
      <c r="B5" s="1"/>
      <c r="C5" s="1"/>
      <c r="D5" s="1"/>
      <c r="E5" s="24"/>
      <c r="F5" s="25"/>
    </row>
    <row r="6" spans="2:13" ht="15.75">
      <c r="B6" s="4"/>
      <c r="C6" s="39" t="s">
        <v>3</v>
      </c>
      <c r="D6" s="12"/>
      <c r="E6" s="26"/>
      <c r="F6" s="26"/>
      <c r="J6" s="119"/>
      <c r="K6" s="120" t="s">
        <v>4</v>
      </c>
      <c r="L6" s="125"/>
      <c r="M6" s="124"/>
    </row>
    <row r="7" spans="2:13" ht="15.75">
      <c r="B7" s="3"/>
      <c r="C7" s="8" t="s">
        <v>5</v>
      </c>
      <c r="D7" s="13"/>
      <c r="E7" s="27"/>
      <c r="F7" s="27"/>
      <c r="J7" s="119">
        <v>1</v>
      </c>
      <c r="K7" s="121" t="s">
        <v>6</v>
      </c>
      <c r="L7" s="126" t="s">
        <v>7</v>
      </c>
      <c r="M7" s="124"/>
    </row>
    <row r="8" spans="2:13" ht="15.75">
      <c r="B8" s="3"/>
      <c r="C8" s="8" t="s">
        <v>8</v>
      </c>
      <c r="D8" s="14"/>
      <c r="E8" s="27"/>
      <c r="F8" s="27"/>
      <c r="J8" s="122">
        <v>2</v>
      </c>
      <c r="K8" s="121" t="s">
        <v>9</v>
      </c>
      <c r="L8" s="126" t="s">
        <v>10</v>
      </c>
      <c r="M8" s="124"/>
    </row>
    <row r="9" spans="2:13" ht="15.75">
      <c r="B9" s="3"/>
      <c r="C9" s="36" t="s">
        <v>11</v>
      </c>
      <c r="D9" s="14"/>
      <c r="E9" s="27"/>
      <c r="F9" s="27"/>
      <c r="J9" s="122">
        <v>3</v>
      </c>
      <c r="K9" s="121" t="s">
        <v>12</v>
      </c>
      <c r="L9" s="126" t="s">
        <v>13</v>
      </c>
      <c r="M9" s="124"/>
    </row>
    <row r="10" spans="2:13" ht="15.75">
      <c r="B10" s="3"/>
      <c r="C10" s="9" t="s">
        <v>14</v>
      </c>
      <c r="D10" s="14"/>
      <c r="E10" s="27">
        <v>4550</v>
      </c>
      <c r="F10" s="27"/>
      <c r="J10" s="122">
        <v>4</v>
      </c>
      <c r="K10" s="121" t="s">
        <v>15</v>
      </c>
      <c r="L10" s="126" t="s">
        <v>16</v>
      </c>
      <c r="M10" s="124"/>
    </row>
    <row r="11" spans="2:13" ht="15.75">
      <c r="B11" s="3"/>
      <c r="C11" s="8" t="s">
        <v>17</v>
      </c>
      <c r="D11" s="14"/>
      <c r="E11" s="28">
        <v>85.65</v>
      </c>
      <c r="F11" s="28">
        <v>4635.6499999999996</v>
      </c>
      <c r="J11" s="122">
        <v>5</v>
      </c>
      <c r="K11" s="121" t="s">
        <v>18</v>
      </c>
      <c r="L11" s="126" t="s">
        <v>19</v>
      </c>
      <c r="M11" s="124"/>
    </row>
    <row r="12" spans="2:13" ht="15.75">
      <c r="B12" s="3"/>
      <c r="C12" s="37" t="s">
        <v>9</v>
      </c>
      <c r="D12" s="14"/>
      <c r="E12" s="27"/>
      <c r="F12" s="27"/>
      <c r="J12" s="122">
        <v>6</v>
      </c>
      <c r="K12" s="121" t="s">
        <v>20</v>
      </c>
      <c r="L12" s="126" t="s">
        <v>21</v>
      </c>
      <c r="M12" s="124"/>
    </row>
    <row r="13" spans="2:13" ht="15.75">
      <c r="B13" s="3"/>
      <c r="C13" s="44" t="s">
        <v>22</v>
      </c>
      <c r="D13" s="15"/>
      <c r="E13" s="27">
        <v>14800</v>
      </c>
      <c r="F13" s="27"/>
      <c r="J13" s="119">
        <v>7</v>
      </c>
      <c r="K13" s="121" t="s">
        <v>23</v>
      </c>
      <c r="L13" s="126" t="s">
        <v>24</v>
      </c>
      <c r="M13" s="124"/>
    </row>
    <row r="14" spans="2:13" ht="15.75">
      <c r="B14" s="3"/>
      <c r="C14" s="45" t="s">
        <v>25</v>
      </c>
      <c r="D14" s="16"/>
      <c r="E14" s="28">
        <v>10000</v>
      </c>
      <c r="F14" s="28">
        <v>24800</v>
      </c>
      <c r="J14" s="122">
        <v>8</v>
      </c>
      <c r="K14" s="121" t="s">
        <v>26</v>
      </c>
      <c r="L14" s="126" t="s">
        <v>27</v>
      </c>
      <c r="M14" s="124"/>
    </row>
    <row r="15" spans="2:13" ht="15.75">
      <c r="B15" s="3"/>
      <c r="C15" s="8" t="s">
        <v>28</v>
      </c>
      <c r="D15" s="14"/>
      <c r="E15" s="27"/>
      <c r="F15" s="27"/>
      <c r="J15" s="122">
        <v>9</v>
      </c>
      <c r="K15" s="121" t="s">
        <v>29</v>
      </c>
      <c r="L15" s="126" t="s">
        <v>30</v>
      </c>
      <c r="M15" s="124"/>
    </row>
    <row r="16" spans="2:13" ht="15.75">
      <c r="B16" s="3"/>
      <c r="C16" s="106" t="s">
        <v>12</v>
      </c>
      <c r="D16" s="14"/>
      <c r="E16" s="27"/>
      <c r="F16" s="27"/>
      <c r="J16" s="122">
        <v>10</v>
      </c>
      <c r="K16" s="121" t="s">
        <v>31</v>
      </c>
      <c r="L16" s="126" t="s">
        <v>32</v>
      </c>
      <c r="M16" s="124"/>
    </row>
    <row r="17" spans="1:13" ht="15.75">
      <c r="B17" s="3"/>
      <c r="C17" s="103" t="s">
        <v>33</v>
      </c>
      <c r="D17" s="14"/>
      <c r="E17" s="27">
        <v>1500</v>
      </c>
      <c r="F17" s="27"/>
      <c r="J17" s="122">
        <v>11</v>
      </c>
      <c r="K17" s="121" t="s">
        <v>34</v>
      </c>
      <c r="L17" s="126" t="s">
        <v>35</v>
      </c>
      <c r="M17" s="124"/>
    </row>
    <row r="18" spans="1:13" ht="15.75">
      <c r="B18" s="3"/>
      <c r="C18" s="103" t="s">
        <v>36</v>
      </c>
      <c r="D18" s="14"/>
      <c r="E18" s="27">
        <v>2400</v>
      </c>
      <c r="F18" s="27"/>
      <c r="J18" s="122">
        <v>12</v>
      </c>
      <c r="K18" s="121" t="s">
        <v>37</v>
      </c>
      <c r="L18" s="126" t="s">
        <v>38</v>
      </c>
      <c r="M18" s="124"/>
    </row>
    <row r="19" spans="1:13" ht="15.75">
      <c r="B19" s="3"/>
      <c r="C19" s="103" t="s">
        <v>39</v>
      </c>
      <c r="D19" s="14"/>
      <c r="E19" s="27">
        <v>3800</v>
      </c>
      <c r="F19" s="27">
        <v>7700</v>
      </c>
      <c r="J19" s="119">
        <v>13</v>
      </c>
      <c r="K19" s="123"/>
      <c r="L19" s="125"/>
      <c r="M19" s="124"/>
    </row>
    <row r="20" spans="1:13" ht="15.75">
      <c r="B20" s="3"/>
      <c r="C20" s="106" t="s">
        <v>15</v>
      </c>
      <c r="D20" s="14"/>
      <c r="E20" s="27"/>
      <c r="F20" s="27"/>
      <c r="J20" s="119">
        <v>14</v>
      </c>
      <c r="K20" s="121" t="s">
        <v>40</v>
      </c>
      <c r="L20" s="126" t="s">
        <v>41</v>
      </c>
      <c r="M20" s="124">
        <v>41000</v>
      </c>
    </row>
    <row r="21" spans="1:13" ht="15.75">
      <c r="B21" s="3">
        <v>2</v>
      </c>
      <c r="C21" s="103" t="s">
        <v>42</v>
      </c>
      <c r="D21" s="14"/>
      <c r="E21" s="27">
        <v>1600</v>
      </c>
      <c r="F21" s="27"/>
      <c r="J21" s="122">
        <v>15</v>
      </c>
      <c r="K21" s="121" t="s">
        <v>43</v>
      </c>
      <c r="L21" s="126" t="s">
        <v>44</v>
      </c>
      <c r="M21" s="124">
        <v>20000</v>
      </c>
    </row>
    <row r="22" spans="1:13" ht="15.75">
      <c r="B22" s="3">
        <v>1</v>
      </c>
      <c r="C22" s="103" t="s">
        <v>45</v>
      </c>
      <c r="D22" s="14"/>
      <c r="E22" s="27">
        <v>2000</v>
      </c>
      <c r="F22" s="27">
        <v>3600</v>
      </c>
      <c r="J22" s="119">
        <v>16</v>
      </c>
      <c r="K22" s="121" t="s">
        <v>46</v>
      </c>
      <c r="L22" s="126" t="s">
        <v>47</v>
      </c>
      <c r="M22" s="124">
        <v>100000</v>
      </c>
    </row>
    <row r="23" spans="1:13" ht="15.75">
      <c r="B23" s="3"/>
      <c r="C23" s="106" t="s">
        <v>48</v>
      </c>
      <c r="D23" s="14"/>
      <c r="E23" s="27"/>
      <c r="F23" s="27"/>
      <c r="J23" s="119">
        <v>17</v>
      </c>
      <c r="K23" s="123" t="s">
        <v>49</v>
      </c>
      <c r="L23" s="125"/>
      <c r="M23" s="124">
        <v>500806.64</v>
      </c>
    </row>
    <row r="24" spans="1:13" ht="30.75">
      <c r="B24" s="3"/>
      <c r="C24" s="30" t="s">
        <v>50</v>
      </c>
      <c r="D24" s="15"/>
      <c r="E24" s="113">
        <v>38798.32</v>
      </c>
      <c r="F24" s="114">
        <v>38798.22</v>
      </c>
      <c r="J24" s="119">
        <v>18</v>
      </c>
      <c r="K24" s="123"/>
      <c r="L24" s="125">
        <v>661806.64</v>
      </c>
      <c r="M24" s="127">
        <v>661806.64</v>
      </c>
    </row>
    <row r="25" spans="1:13" ht="15.75">
      <c r="B25" s="2"/>
      <c r="C25" s="46" t="s">
        <v>51</v>
      </c>
      <c r="D25" s="15"/>
      <c r="E25" s="27"/>
      <c r="F25" s="27"/>
      <c r="J25" s="119"/>
      <c r="K25" s="123"/>
      <c r="L25" s="119"/>
    </row>
    <row r="26" spans="1:13" ht="15" thickBot="1">
      <c r="A26" s="2"/>
      <c r="B26" s="2"/>
      <c r="C26" s="37" t="s">
        <v>52</v>
      </c>
      <c r="D26" s="17"/>
      <c r="E26" s="27"/>
      <c r="F26" s="27"/>
    </row>
    <row r="27" spans="1:13" ht="15" thickBot="1">
      <c r="A27" s="2"/>
      <c r="B27" s="2"/>
      <c r="C27" s="37" t="s">
        <v>53</v>
      </c>
      <c r="D27" s="17"/>
      <c r="E27" s="27"/>
      <c r="F27" s="27"/>
    </row>
    <row r="28" spans="1:13" ht="15" thickBot="1">
      <c r="A28" s="2"/>
      <c r="B28" s="2">
        <v>15</v>
      </c>
      <c r="C28" s="8" t="s">
        <v>54</v>
      </c>
      <c r="D28" s="17"/>
      <c r="E28" s="27">
        <v>45535.65</v>
      </c>
      <c r="F28" s="27"/>
    </row>
    <row r="29" spans="1:13" ht="15">
      <c r="A29" s="2"/>
      <c r="B29" s="2"/>
      <c r="C29" s="102" t="s">
        <v>55</v>
      </c>
      <c r="D29" s="15"/>
      <c r="E29" s="27"/>
      <c r="F29" s="27"/>
    </row>
    <row r="30" spans="1:13" ht="15">
      <c r="A30" s="2"/>
      <c r="B30" s="2">
        <v>15</v>
      </c>
      <c r="C30" s="10" t="s">
        <v>56</v>
      </c>
      <c r="D30" s="17"/>
      <c r="E30" s="27">
        <v>22767.9</v>
      </c>
      <c r="F30" s="27"/>
    </row>
    <row r="31" spans="1:13" ht="15">
      <c r="A31" s="2"/>
      <c r="B31" s="2">
        <v>15</v>
      </c>
      <c r="C31" s="103" t="s">
        <v>57</v>
      </c>
      <c r="D31" s="17"/>
      <c r="E31" s="27">
        <v>10714.35</v>
      </c>
    </row>
    <row r="32" spans="1:13" ht="15">
      <c r="A32" s="2"/>
      <c r="B32" s="2"/>
      <c r="C32" s="104" t="s">
        <v>58</v>
      </c>
      <c r="D32" s="17"/>
      <c r="E32" s="27"/>
      <c r="F32" s="27"/>
    </row>
    <row r="33" spans="1:7" ht="15">
      <c r="A33" s="2"/>
      <c r="B33" s="2">
        <v>12</v>
      </c>
      <c r="C33" s="20" t="s">
        <v>59</v>
      </c>
      <c r="D33" s="14"/>
      <c r="E33" s="27">
        <v>6964.32</v>
      </c>
      <c r="F33" s="27"/>
    </row>
    <row r="34" spans="1:7" ht="15">
      <c r="A34" s="2"/>
      <c r="B34" s="2">
        <v>12</v>
      </c>
      <c r="C34" s="20" t="s">
        <v>60</v>
      </c>
      <c r="D34" s="14"/>
      <c r="E34" s="27">
        <v>6428.52</v>
      </c>
      <c r="F34" s="27"/>
    </row>
    <row r="35" spans="1:7" ht="15" thickBot="1">
      <c r="A35" s="2"/>
      <c r="B35" s="2"/>
      <c r="C35" s="37" t="s">
        <v>61</v>
      </c>
      <c r="D35" s="14"/>
      <c r="E35" s="27"/>
      <c r="F35" s="27"/>
    </row>
    <row r="36" spans="1:7" ht="15">
      <c r="A36" s="2"/>
      <c r="B36" s="2">
        <v>10</v>
      </c>
      <c r="C36" s="20" t="s">
        <v>62</v>
      </c>
      <c r="D36" s="14"/>
      <c r="E36" s="27">
        <v>7142.9</v>
      </c>
      <c r="F36" s="27"/>
    </row>
    <row r="37" spans="1:7" ht="15">
      <c r="A37" s="2"/>
      <c r="B37" s="2">
        <v>10</v>
      </c>
      <c r="C37" s="20" t="s">
        <v>63</v>
      </c>
      <c r="D37" s="14"/>
      <c r="E37" s="27">
        <v>4464.3</v>
      </c>
      <c r="F37" s="27"/>
    </row>
    <row r="38" spans="1:7" ht="15">
      <c r="A38" s="2"/>
      <c r="B38" s="2"/>
      <c r="C38" s="105" t="s">
        <v>64</v>
      </c>
      <c r="D38" s="17"/>
      <c r="E38" s="27"/>
      <c r="F38" s="27"/>
    </row>
    <row r="39" spans="1:7" ht="15">
      <c r="A39" s="2"/>
      <c r="B39" s="2">
        <v>10</v>
      </c>
      <c r="C39" s="103" t="s">
        <v>65</v>
      </c>
      <c r="D39" s="17"/>
      <c r="E39" s="27">
        <v>5133.8999999999996</v>
      </c>
      <c r="F39" s="27"/>
    </row>
    <row r="40" spans="1:7" ht="15">
      <c r="A40" s="2"/>
      <c r="B40" s="2">
        <v>15</v>
      </c>
      <c r="C40" s="10" t="s">
        <v>66</v>
      </c>
      <c r="D40" s="17"/>
      <c r="E40" s="27" t="s">
        <v>67</v>
      </c>
      <c r="G40" s="27"/>
    </row>
    <row r="41" spans="1:7" ht="15">
      <c r="A41" s="2"/>
      <c r="B41" s="2"/>
      <c r="C41" s="105" t="s">
        <v>68</v>
      </c>
      <c r="D41" s="17"/>
      <c r="E41" s="27"/>
      <c r="F41" s="27"/>
    </row>
    <row r="42" spans="1:7" ht="15">
      <c r="A42" s="2"/>
      <c r="B42" s="2">
        <v>15</v>
      </c>
      <c r="C42" s="103" t="s">
        <v>69</v>
      </c>
      <c r="D42" s="17"/>
      <c r="E42" s="27">
        <v>21428.55</v>
      </c>
      <c r="F42" s="27"/>
    </row>
    <row r="43" spans="1:7" ht="15">
      <c r="A43" s="2"/>
      <c r="B43" s="2"/>
      <c r="C43" s="105" t="s">
        <v>70</v>
      </c>
      <c r="D43" s="14"/>
      <c r="E43" s="27"/>
      <c r="F43" s="27"/>
    </row>
    <row r="44" spans="1:7" ht="15">
      <c r="A44" s="2"/>
      <c r="B44" s="2">
        <v>20</v>
      </c>
      <c r="C44" s="10" t="s">
        <v>71</v>
      </c>
      <c r="D44" s="17"/>
      <c r="E44" s="27">
        <v>6250</v>
      </c>
      <c r="F44" s="27"/>
    </row>
    <row r="45" spans="1:7" ht="15">
      <c r="A45" s="2"/>
      <c r="B45" s="2">
        <v>20</v>
      </c>
      <c r="C45" s="10" t="s">
        <v>72</v>
      </c>
      <c r="D45" s="17"/>
      <c r="E45" s="27">
        <v>6785.8</v>
      </c>
      <c r="F45" s="27"/>
    </row>
    <row r="46" spans="1:7" ht="15">
      <c r="A46" s="2"/>
      <c r="B46" s="2">
        <v>20</v>
      </c>
      <c r="C46" s="103" t="s">
        <v>73</v>
      </c>
      <c r="D46" s="14"/>
      <c r="E46" s="27">
        <v>7142.8</v>
      </c>
      <c r="F46" s="27"/>
    </row>
    <row r="47" spans="1:7" ht="15">
      <c r="A47" s="2"/>
      <c r="B47" s="2">
        <v>20</v>
      </c>
      <c r="C47" s="10" t="s">
        <v>74</v>
      </c>
      <c r="D47" s="18"/>
      <c r="E47" s="27">
        <v>1785.8</v>
      </c>
      <c r="F47" s="27"/>
    </row>
    <row r="48" spans="1:7" ht="15">
      <c r="A48" s="2"/>
      <c r="B48" s="2"/>
      <c r="C48" s="105" t="s">
        <v>75</v>
      </c>
      <c r="D48" s="17"/>
      <c r="E48" s="27"/>
      <c r="F48" s="27"/>
    </row>
    <row r="49" spans="1:6" ht="15">
      <c r="A49" s="2"/>
      <c r="B49" s="2">
        <v>10</v>
      </c>
      <c r="C49" s="103" t="s">
        <v>76</v>
      </c>
      <c r="D49" s="17"/>
      <c r="E49" s="27">
        <v>16071.4</v>
      </c>
      <c r="F49" s="27"/>
    </row>
    <row r="50" spans="1:6" ht="15">
      <c r="A50" s="2"/>
      <c r="B50" s="2">
        <v>10</v>
      </c>
      <c r="C50" s="10" t="s">
        <v>77</v>
      </c>
      <c r="D50" s="17"/>
      <c r="E50" s="27">
        <v>17857.099999999999</v>
      </c>
      <c r="F50" s="27">
        <v>192498.97</v>
      </c>
    </row>
    <row r="51" spans="1:6" ht="15">
      <c r="A51" s="2"/>
      <c r="B51" s="2"/>
      <c r="C51" s="128" t="s">
        <v>78</v>
      </c>
      <c r="D51" s="17"/>
      <c r="E51" s="27"/>
      <c r="F51" s="27"/>
    </row>
    <row r="52" spans="1:6" ht="30.75">
      <c r="A52" s="2"/>
      <c r="B52" s="2">
        <v>10</v>
      </c>
      <c r="C52" s="10" t="s">
        <v>79</v>
      </c>
      <c r="D52" s="17"/>
      <c r="E52" s="27"/>
      <c r="F52" s="27">
        <v>5000</v>
      </c>
    </row>
    <row r="53" spans="1:6" ht="15">
      <c r="A53" s="2"/>
      <c r="B53" s="2"/>
      <c r="C53" s="128" t="s">
        <v>80</v>
      </c>
      <c r="D53" s="17"/>
      <c r="E53" s="27"/>
      <c r="F53" s="27"/>
    </row>
    <row r="54" spans="1:6" ht="57" customHeight="1">
      <c r="A54" s="2"/>
      <c r="B54" s="2"/>
      <c r="C54" s="129" t="s">
        <v>81</v>
      </c>
      <c r="D54" s="17"/>
      <c r="E54" s="27"/>
      <c r="F54" s="27">
        <v>3571.44</v>
      </c>
    </row>
    <row r="55" spans="1:6" ht="15">
      <c r="A55" s="2"/>
      <c r="B55" s="2"/>
      <c r="C55" s="105" t="s">
        <v>82</v>
      </c>
      <c r="D55" s="17"/>
      <c r="E55" s="27"/>
      <c r="F55" s="27"/>
    </row>
    <row r="56" spans="1:6" ht="15" thickBot="1">
      <c r="A56" s="2"/>
      <c r="B56" s="2"/>
      <c r="C56" s="107" t="s">
        <v>83</v>
      </c>
      <c r="D56" s="14"/>
      <c r="E56" s="27"/>
      <c r="F56" s="27"/>
    </row>
    <row r="57" spans="1:6" ht="30.75">
      <c r="A57" s="2"/>
      <c r="B57" s="2"/>
      <c r="C57" s="108" t="s">
        <v>84</v>
      </c>
      <c r="D57" s="14"/>
      <c r="E57" s="27">
        <v>53571.43</v>
      </c>
      <c r="F57" s="27"/>
    </row>
    <row r="58" spans="1:6" ht="45.75">
      <c r="A58" s="2"/>
      <c r="B58" s="2"/>
      <c r="C58" s="77" t="s">
        <v>85</v>
      </c>
      <c r="D58" s="17"/>
      <c r="E58" s="28">
        <v>60714.26</v>
      </c>
      <c r="F58" s="28">
        <v>114285.7</v>
      </c>
    </row>
    <row r="59" spans="1:6" ht="15.6" thickTop="1" thickBot="1">
      <c r="A59" s="2"/>
      <c r="B59" s="2"/>
      <c r="C59" s="37" t="s">
        <v>86</v>
      </c>
      <c r="D59" s="17"/>
      <c r="E59" s="27"/>
      <c r="F59" s="27"/>
    </row>
    <row r="60" spans="1:6" ht="30.75">
      <c r="A60" s="2"/>
      <c r="B60" s="2">
        <v>2</v>
      </c>
      <c r="C60" s="10" t="s">
        <v>87</v>
      </c>
      <c r="D60" s="17"/>
      <c r="E60" s="27">
        <v>1035.71</v>
      </c>
      <c r="F60" s="27"/>
    </row>
    <row r="61" spans="1:6" ht="15">
      <c r="A61" s="2"/>
      <c r="B61" s="2">
        <v>2</v>
      </c>
      <c r="C61" s="10" t="s">
        <v>88</v>
      </c>
      <c r="D61" s="17"/>
      <c r="E61" s="27">
        <v>642.86</v>
      </c>
      <c r="F61" s="27"/>
    </row>
    <row r="62" spans="1:6" ht="15">
      <c r="A62" s="2"/>
      <c r="B62" s="2">
        <v>2</v>
      </c>
      <c r="C62" s="109" t="s">
        <v>89</v>
      </c>
      <c r="D62" s="17"/>
      <c r="E62" s="27">
        <v>1517.86</v>
      </c>
      <c r="F62" s="27"/>
    </row>
    <row r="63" spans="1:6" ht="15">
      <c r="A63" s="2"/>
      <c r="B63" s="2">
        <v>1</v>
      </c>
      <c r="C63" s="21" t="s">
        <v>90</v>
      </c>
      <c r="D63" s="116"/>
      <c r="E63" s="110">
        <v>3035.71</v>
      </c>
      <c r="F63" s="110"/>
    </row>
    <row r="64" spans="1:6" ht="15">
      <c r="A64" s="2"/>
      <c r="B64" s="2">
        <v>1</v>
      </c>
      <c r="C64" s="21" t="s">
        <v>91</v>
      </c>
      <c r="D64" s="14"/>
      <c r="E64" s="27">
        <v>178.57</v>
      </c>
      <c r="F64" s="27"/>
    </row>
    <row r="65" spans="1:8" ht="15">
      <c r="A65" s="2"/>
      <c r="B65" s="2">
        <v>2</v>
      </c>
      <c r="C65" s="108" t="s">
        <v>92</v>
      </c>
      <c r="D65" s="14"/>
      <c r="E65" s="27">
        <v>712.5</v>
      </c>
      <c r="F65" s="27"/>
    </row>
    <row r="66" spans="1:8" ht="15">
      <c r="A66" s="2"/>
      <c r="B66" s="2">
        <v>1</v>
      </c>
      <c r="C66" s="10" t="s">
        <v>93</v>
      </c>
      <c r="D66" s="17"/>
      <c r="E66" s="27">
        <v>3214.29</v>
      </c>
      <c r="F66" s="27"/>
    </row>
    <row r="67" spans="1:8" ht="30.75">
      <c r="A67" s="2"/>
      <c r="B67" s="2">
        <v>2</v>
      </c>
      <c r="C67" s="10" t="s">
        <v>94</v>
      </c>
      <c r="D67" s="17"/>
      <c r="E67" s="27">
        <v>1071.42</v>
      </c>
      <c r="F67" s="27"/>
    </row>
    <row r="68" spans="1:8" ht="30.75">
      <c r="A68" s="2"/>
      <c r="B68" s="2">
        <v>1</v>
      </c>
      <c r="C68" s="10" t="s">
        <v>95</v>
      </c>
      <c r="D68" s="19"/>
      <c r="E68" s="109">
        <v>625</v>
      </c>
    </row>
    <row r="69" spans="1:8" ht="30.75">
      <c r="A69" s="2"/>
      <c r="B69" s="2">
        <v>4</v>
      </c>
      <c r="C69" s="21" t="s">
        <v>96</v>
      </c>
      <c r="D69" s="14"/>
      <c r="E69" s="27">
        <v>714.28</v>
      </c>
      <c r="F69" s="22">
        <v>12748.14</v>
      </c>
    </row>
    <row r="70" spans="1:8" ht="15" thickBot="1">
      <c r="A70" s="2"/>
      <c r="B70" s="2"/>
      <c r="C70" s="102" t="s">
        <v>34</v>
      </c>
      <c r="D70" s="14"/>
      <c r="E70" s="28"/>
      <c r="F70" s="28"/>
      <c r="H70" s="29"/>
    </row>
    <row r="71" spans="1:8" ht="60.75">
      <c r="A71" s="2"/>
      <c r="B71" s="2"/>
      <c r="C71" s="108" t="s">
        <v>97</v>
      </c>
      <c r="D71" s="14"/>
      <c r="E71" s="27">
        <v>252000</v>
      </c>
      <c r="F71" s="27">
        <v>252000</v>
      </c>
    </row>
    <row r="72" spans="1:8" ht="15" thickBot="1">
      <c r="A72" s="2"/>
      <c r="B72" s="2"/>
      <c r="C72" s="107" t="s">
        <v>98</v>
      </c>
      <c r="D72" s="14"/>
      <c r="E72" s="27"/>
      <c r="F72" s="27"/>
    </row>
    <row r="73" spans="1:8" ht="30.75">
      <c r="A73" s="2"/>
      <c r="B73" s="2">
        <v>6</v>
      </c>
      <c r="C73" s="20" t="s">
        <v>99</v>
      </c>
      <c r="D73" s="14"/>
      <c r="E73" s="27">
        <v>214.26</v>
      </c>
      <c r="F73" s="27"/>
    </row>
    <row r="74" spans="1:8" ht="30.75">
      <c r="A74" s="2"/>
      <c r="B74" s="2"/>
      <c r="C74" s="77" t="s">
        <v>100</v>
      </c>
      <c r="D74" s="14"/>
      <c r="E74" s="27">
        <v>180</v>
      </c>
      <c r="F74" s="27"/>
    </row>
    <row r="75" spans="1:8" ht="30.75">
      <c r="A75" s="2"/>
      <c r="B75" s="2"/>
      <c r="C75" s="20" t="s">
        <v>101</v>
      </c>
      <c r="D75" s="14"/>
      <c r="E75" s="27">
        <v>24</v>
      </c>
      <c r="F75" s="27"/>
    </row>
    <row r="76" spans="1:8" ht="15" thickBot="1">
      <c r="A76" s="2"/>
      <c r="B76" s="2"/>
      <c r="C76" s="20" t="s">
        <v>102</v>
      </c>
      <c r="D76" s="14"/>
      <c r="E76" s="28">
        <v>800</v>
      </c>
      <c r="F76" s="28"/>
    </row>
    <row r="77" spans="1:8" ht="15">
      <c r="A77" s="2"/>
      <c r="B77" s="2"/>
      <c r="C77" s="20" t="s">
        <v>103</v>
      </c>
      <c r="D77" s="14"/>
      <c r="E77" s="27">
        <v>500</v>
      </c>
      <c r="F77" s="110"/>
    </row>
    <row r="78" spans="1:8" ht="15">
      <c r="A78" s="2"/>
      <c r="B78" s="2"/>
      <c r="C78" s="20" t="s">
        <v>104</v>
      </c>
      <c r="D78" s="14"/>
      <c r="E78" s="111">
        <v>450</v>
      </c>
      <c r="F78" s="112">
        <v>2168.2600000000002</v>
      </c>
    </row>
    <row r="79" spans="1:8" ht="42.75" customHeight="1">
      <c r="A79" s="2"/>
      <c r="B79" s="2"/>
      <c r="C79" s="38" t="s">
        <v>105</v>
      </c>
      <c r="D79" s="14"/>
      <c r="E79" s="27"/>
      <c r="F79" s="40">
        <f>F11+F14+F19+F22+F24+F50+F52+F54+F58+F69+F71+F78</f>
        <v>661806.38</v>
      </c>
      <c r="H79" s="22"/>
    </row>
    <row r="80" spans="1:8" ht="15">
      <c r="A80" s="2"/>
      <c r="B80" s="2"/>
      <c r="C80" s="39" t="s">
        <v>106</v>
      </c>
      <c r="D80" s="19"/>
      <c r="E80" s="27"/>
      <c r="F80" s="27"/>
    </row>
    <row r="81" spans="1:8" ht="15">
      <c r="A81" s="2"/>
      <c r="B81" s="2"/>
      <c r="C81" s="37" t="s">
        <v>5</v>
      </c>
      <c r="D81" s="14"/>
      <c r="E81" s="27"/>
      <c r="F81" s="27"/>
    </row>
    <row r="82" spans="1:8" ht="15" thickBot="1">
      <c r="A82" s="2"/>
      <c r="B82" s="2"/>
      <c r="C82" s="37" t="s">
        <v>107</v>
      </c>
      <c r="D82" s="14"/>
      <c r="E82" s="27"/>
      <c r="F82" s="27"/>
    </row>
    <row r="83" spans="1:8" ht="30.75">
      <c r="A83" s="2"/>
      <c r="B83" s="2"/>
      <c r="C83" s="20" t="s">
        <v>108</v>
      </c>
      <c r="D83" s="19"/>
      <c r="E83" s="27">
        <v>12000</v>
      </c>
      <c r="F83" s="27"/>
    </row>
    <row r="84" spans="1:8" ht="15" thickBot="1">
      <c r="A84" s="2"/>
      <c r="B84" s="2"/>
      <c r="C84" s="20" t="s">
        <v>109</v>
      </c>
      <c r="D84" s="14"/>
      <c r="E84" s="28">
        <v>25000</v>
      </c>
      <c r="F84" s="28">
        <f>E84+E83</f>
        <v>37000</v>
      </c>
      <c r="G84" t="s">
        <v>110</v>
      </c>
    </row>
    <row r="85" spans="1:8" ht="15">
      <c r="A85" s="2"/>
      <c r="B85" s="2"/>
      <c r="C85" s="102" t="s">
        <v>111</v>
      </c>
      <c r="D85" s="14"/>
      <c r="E85" s="27"/>
      <c r="F85" s="115"/>
    </row>
    <row r="86" spans="1:8" ht="15">
      <c r="A86" s="2"/>
      <c r="B86" s="2"/>
      <c r="C86" s="108" t="s">
        <v>112</v>
      </c>
      <c r="D86" s="14"/>
      <c r="E86" s="27">
        <v>4000</v>
      </c>
      <c r="F86" s="115">
        <v>41000</v>
      </c>
      <c r="G86" s="32"/>
    </row>
    <row r="87" spans="1:8" ht="15">
      <c r="A87" s="2"/>
      <c r="B87" s="2"/>
      <c r="C87" s="102" t="s">
        <v>113</v>
      </c>
      <c r="D87" s="14"/>
      <c r="E87" s="27"/>
      <c r="F87" s="27"/>
    </row>
    <row r="88" spans="1:8" ht="15">
      <c r="A88" s="2"/>
      <c r="B88" s="2">
        <v>10</v>
      </c>
      <c r="C88" t="s">
        <v>114</v>
      </c>
      <c r="D88" s="14"/>
      <c r="E88" s="27">
        <v>20000</v>
      </c>
      <c r="F88" s="27">
        <v>20000</v>
      </c>
    </row>
    <row r="89" spans="1:8" ht="15">
      <c r="A89" s="2"/>
      <c r="B89" s="2"/>
      <c r="C89" s="102" t="s">
        <v>82</v>
      </c>
      <c r="D89" s="19"/>
      <c r="E89" s="27"/>
      <c r="F89" s="27"/>
    </row>
    <row r="90" spans="1:8" ht="15">
      <c r="A90" s="2"/>
      <c r="B90" s="2"/>
      <c r="C90" s="102" t="s">
        <v>115</v>
      </c>
      <c r="D90" s="19"/>
      <c r="E90" s="27"/>
      <c r="F90" s="110"/>
    </row>
    <row r="91" spans="1:8" ht="15">
      <c r="A91" s="2"/>
      <c r="B91" s="2"/>
      <c r="C91" s="108" t="s">
        <v>116</v>
      </c>
      <c r="D91" s="14"/>
      <c r="E91" s="27">
        <v>100000</v>
      </c>
      <c r="F91" s="118">
        <v>100000</v>
      </c>
    </row>
    <row r="92" spans="1:8" ht="15">
      <c r="C92" s="38" t="s">
        <v>117</v>
      </c>
      <c r="E92" s="117"/>
      <c r="F92" s="40">
        <v>161000</v>
      </c>
    </row>
    <row r="93" spans="1:8" ht="15">
      <c r="C93" s="20" t="s">
        <v>49</v>
      </c>
      <c r="E93" s="27"/>
      <c r="F93" s="27">
        <f>F79-F92</f>
        <v>500806.38</v>
      </c>
      <c r="H93" s="22"/>
    </row>
    <row r="94" spans="1:8">
      <c r="C94" s="20" t="s">
        <v>118</v>
      </c>
      <c r="E94" s="27"/>
      <c r="F94" s="27">
        <f>F92+F93</f>
        <v>661806.38</v>
      </c>
      <c r="H94" s="22"/>
    </row>
    <row r="95" spans="1:8">
      <c r="E95" s="27"/>
      <c r="F95" s="27"/>
    </row>
    <row r="96" spans="1:8" ht="81.75" customHeight="1">
      <c r="C96" s="181" t="s">
        <v>119</v>
      </c>
      <c r="D96" s="180"/>
      <c r="E96" s="180"/>
      <c r="F96" s="180"/>
    </row>
    <row r="97" spans="3:8">
      <c r="C97" s="20"/>
      <c r="E97" s="27"/>
      <c r="F97" s="27"/>
    </row>
    <row r="98" spans="3:8">
      <c r="C98" s="20" t="s">
        <v>120</v>
      </c>
      <c r="E98" s="27"/>
      <c r="F98" s="27"/>
    </row>
    <row r="99" spans="3:8" ht="15">
      <c r="C99" s="20" t="s">
        <v>121</v>
      </c>
      <c r="E99" s="27"/>
      <c r="F99" s="27"/>
    </row>
    <row r="100" spans="3:8">
      <c r="C100" s="20" t="s">
        <v>122</v>
      </c>
      <c r="E100" s="27"/>
      <c r="F100" s="27"/>
    </row>
    <row r="101" spans="3:8">
      <c r="C101" s="20"/>
      <c r="E101" s="27"/>
      <c r="F101" s="27"/>
    </row>
    <row r="102" spans="3:8">
      <c r="C102" s="20"/>
      <c r="E102" s="27"/>
      <c r="F102" s="27"/>
    </row>
    <row r="103" spans="3:8">
      <c r="C103" s="20"/>
      <c r="E103" s="27"/>
      <c r="F103" s="27"/>
    </row>
    <row r="104" spans="3:8">
      <c r="C104" s="20" t="s">
        <v>120</v>
      </c>
      <c r="E104" s="27"/>
      <c r="F104" s="27"/>
    </row>
    <row r="105" spans="3:8">
      <c r="C105" s="20" t="s">
        <v>123</v>
      </c>
      <c r="E105" s="27"/>
      <c r="F105" s="27"/>
    </row>
    <row r="106" spans="3:8">
      <c r="C106" s="20" t="s">
        <v>124</v>
      </c>
      <c r="E106" s="27"/>
      <c r="F106" s="27"/>
    </row>
    <row r="107" spans="3:8">
      <c r="C107" s="20"/>
      <c r="E107" s="27"/>
      <c r="F107" s="27"/>
    </row>
    <row r="108" spans="3:8" ht="15" thickBot="1">
      <c r="C108" s="20"/>
      <c r="E108" s="31"/>
      <c r="F108" s="27"/>
      <c r="H108" s="22"/>
    </row>
    <row r="109" spans="3:8" ht="66.75" customHeight="1" thickTop="1">
      <c r="C109" s="179"/>
      <c r="D109" s="180"/>
      <c r="E109" s="180"/>
      <c r="F109" s="180"/>
    </row>
    <row r="110" spans="3:8">
      <c r="C110" s="32"/>
    </row>
    <row r="111" spans="3:8">
      <c r="C111" s="180"/>
      <c r="D111" s="180"/>
      <c r="E111" s="180"/>
      <c r="F111" s="180"/>
    </row>
    <row r="113" spans="3:6" ht="15" thickBot="1">
      <c r="E113" s="33" t="s">
        <v>120</v>
      </c>
      <c r="F113" s="33"/>
    </row>
    <row r="114" spans="3:6" ht="15" thickTop="1">
      <c r="E114" s="22" t="s">
        <v>125</v>
      </c>
      <c r="F114" s="34"/>
    </row>
    <row r="115" spans="3:6">
      <c r="E115" s="22" t="s">
        <v>126</v>
      </c>
    </row>
    <row r="117" spans="3:6" ht="15" thickBot="1">
      <c r="C117" s="33" t="s">
        <v>120</v>
      </c>
      <c r="D117" s="33"/>
    </row>
    <row r="118" spans="3:6" ht="15" thickTop="1">
      <c r="C118" t="s">
        <v>127</v>
      </c>
    </row>
    <row r="119" spans="3:6">
      <c r="C119" t="s">
        <v>128</v>
      </c>
    </row>
    <row r="120" spans="3:6" ht="15"/>
    <row r="121" spans="3:6" ht="15"/>
    <row r="122" spans="3:6" ht="15"/>
  </sheetData>
  <mergeCells count="5">
    <mergeCell ref="C3:F3"/>
    <mergeCell ref="C4:F4"/>
    <mergeCell ref="C109:F109"/>
    <mergeCell ref="C111:F111"/>
    <mergeCell ref="C96:F9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"/>
  <sheetViews>
    <sheetView topLeftCell="A35" workbookViewId="0">
      <selection activeCell="C39" sqref="C39"/>
    </sheetView>
  </sheetViews>
  <sheetFormatPr defaultColWidth="11.42578125" defaultRowHeight="14.45"/>
  <cols>
    <col min="1" max="1" width="8.42578125" customWidth="1"/>
    <col min="2" max="2" width="3.140625" customWidth="1"/>
    <col min="3" max="3" width="28.42578125" customWidth="1"/>
    <col min="5" max="5" width="2" customWidth="1"/>
  </cols>
  <sheetData>
    <row r="1" spans="1:9">
      <c r="B1" s="41" t="s">
        <v>129</v>
      </c>
      <c r="C1" s="41"/>
      <c r="D1" s="41"/>
      <c r="E1" s="41"/>
      <c r="F1" s="41"/>
      <c r="G1" s="41"/>
      <c r="H1" s="41"/>
    </row>
    <row r="2" spans="1:9" ht="15" thickBot="1">
      <c r="A2" s="187" t="s">
        <v>130</v>
      </c>
      <c r="B2" s="187"/>
      <c r="C2" s="187"/>
      <c r="D2" s="187"/>
      <c r="E2" s="187"/>
      <c r="F2" s="187"/>
      <c r="G2" s="187"/>
      <c r="H2" s="187"/>
      <c r="I2" s="187"/>
    </row>
    <row r="3" spans="1:9" ht="15" thickTop="1">
      <c r="A3" t="s">
        <v>131</v>
      </c>
      <c r="B3" s="41"/>
      <c r="C3" s="42"/>
      <c r="D3" s="182"/>
      <c r="E3" s="182"/>
      <c r="F3" s="182"/>
      <c r="G3" s="182"/>
      <c r="H3" s="41"/>
      <c r="I3" s="32"/>
    </row>
    <row r="4" spans="1:9">
      <c r="A4" t="s">
        <v>132</v>
      </c>
      <c r="B4" s="41"/>
      <c r="C4" s="41"/>
      <c r="D4" s="182"/>
      <c r="E4" s="182"/>
      <c r="F4" s="182"/>
      <c r="G4" s="182"/>
      <c r="H4" s="41"/>
    </row>
    <row r="5" spans="1:9" ht="15" thickBot="1">
      <c r="B5" s="41"/>
      <c r="C5" s="186" t="s">
        <v>133</v>
      </c>
      <c r="D5" s="186"/>
      <c r="E5" s="186"/>
      <c r="F5" s="186"/>
      <c r="G5" s="186"/>
      <c r="H5" s="186"/>
    </row>
    <row r="6" spans="1:9" ht="15" thickBot="1">
      <c r="A6" s="35"/>
      <c r="B6" s="41"/>
      <c r="C6" s="43" t="s">
        <v>3</v>
      </c>
    </row>
    <row r="7" spans="1:9" ht="15.6" thickTop="1" thickBot="1">
      <c r="A7" s="48"/>
      <c r="B7" s="49"/>
      <c r="C7" s="50" t="s">
        <v>3</v>
      </c>
      <c r="D7" s="51"/>
      <c r="E7" s="52"/>
      <c r="F7" s="53"/>
      <c r="G7" s="53"/>
      <c r="H7" s="53"/>
      <c r="I7" s="48"/>
    </row>
    <row r="8" spans="1:9" ht="15.6" thickTop="1" thickBot="1">
      <c r="A8" s="48"/>
      <c r="B8" s="54"/>
      <c r="C8" s="47" t="s">
        <v>134</v>
      </c>
      <c r="D8" s="55"/>
      <c r="E8" s="56"/>
      <c r="F8" s="57"/>
      <c r="G8" s="57"/>
      <c r="H8" s="57"/>
      <c r="I8" s="48"/>
    </row>
    <row r="9" spans="1:9" ht="15" thickBot="1">
      <c r="A9" s="48"/>
      <c r="B9" s="54"/>
      <c r="C9" s="58" t="s">
        <v>135</v>
      </c>
      <c r="D9" s="55"/>
      <c r="E9" s="56"/>
      <c r="F9" s="57"/>
      <c r="G9" s="57"/>
      <c r="H9" s="57"/>
      <c r="I9" s="48"/>
    </row>
    <row r="10" spans="1:9">
      <c r="A10" s="48"/>
      <c r="B10" s="54"/>
      <c r="C10" s="54" t="s">
        <v>6</v>
      </c>
      <c r="D10" s="55"/>
      <c r="E10" s="56"/>
      <c r="F10" s="57">
        <v>4635.6499999999996</v>
      </c>
      <c r="G10" s="57"/>
      <c r="H10" s="57"/>
      <c r="I10" s="48"/>
    </row>
    <row r="11" spans="1:9" ht="15" thickBot="1">
      <c r="A11" s="48"/>
      <c r="B11" s="54"/>
      <c r="C11" s="54" t="s">
        <v>136</v>
      </c>
      <c r="D11" s="55"/>
      <c r="E11" s="56"/>
      <c r="F11" s="59">
        <v>24800</v>
      </c>
      <c r="G11" s="57">
        <f>F10+F11</f>
        <v>29435.65</v>
      </c>
      <c r="H11" s="57"/>
      <c r="I11" s="48"/>
    </row>
    <row r="12" spans="1:9" ht="15" thickBot="1">
      <c r="A12" s="48"/>
      <c r="B12" s="54"/>
      <c r="C12" s="58" t="s">
        <v>28</v>
      </c>
      <c r="D12" s="55"/>
      <c r="E12" s="56"/>
      <c r="F12" s="57"/>
      <c r="G12" s="57"/>
      <c r="H12" s="57"/>
      <c r="I12" s="48"/>
    </row>
    <row r="13" spans="1:9" ht="15" thickBot="1">
      <c r="A13" s="48"/>
      <c r="B13" s="54"/>
      <c r="C13" s="54" t="s">
        <v>137</v>
      </c>
      <c r="D13" s="55"/>
      <c r="E13" s="56"/>
      <c r="F13" s="57">
        <v>7700</v>
      </c>
      <c r="G13" s="57"/>
      <c r="H13" s="57"/>
      <c r="I13" s="48"/>
    </row>
    <row r="14" spans="1:9" ht="15" thickBot="1">
      <c r="A14" s="48"/>
      <c r="B14" s="54"/>
      <c r="C14" s="130" t="s">
        <v>15</v>
      </c>
      <c r="D14" s="55"/>
      <c r="E14" s="56"/>
      <c r="F14" s="57">
        <v>3600</v>
      </c>
      <c r="G14" s="57"/>
      <c r="H14" s="57"/>
      <c r="I14" s="48"/>
    </row>
    <row r="15" spans="1:9" ht="15">
      <c r="A15" s="48"/>
      <c r="B15" s="54"/>
      <c r="C15" s="60" t="s">
        <v>48</v>
      </c>
      <c r="D15" s="55"/>
      <c r="E15" s="56"/>
      <c r="F15" s="57">
        <v>38798.22</v>
      </c>
      <c r="G15" s="57">
        <f>F13+F14+F15</f>
        <v>50098.22</v>
      </c>
      <c r="H15" s="57"/>
      <c r="I15" s="48"/>
    </row>
    <row r="16" spans="1:9" ht="15" thickBot="1">
      <c r="A16" s="48"/>
      <c r="B16" s="54"/>
      <c r="C16" s="131" t="s">
        <v>51</v>
      </c>
      <c r="D16" s="55"/>
      <c r="E16" s="56"/>
      <c r="F16" s="61"/>
      <c r="G16" s="61"/>
      <c r="H16" s="57"/>
      <c r="I16" s="48"/>
    </row>
    <row r="17" spans="1:10" ht="15">
      <c r="A17" s="48"/>
      <c r="B17" s="54"/>
      <c r="C17" s="132" t="s">
        <v>138</v>
      </c>
      <c r="D17" s="55"/>
      <c r="E17" s="56"/>
      <c r="F17" s="63">
        <v>192498.97</v>
      </c>
      <c r="G17" s="57"/>
      <c r="H17" s="57"/>
      <c r="I17" s="48"/>
    </row>
    <row r="18" spans="1:10" ht="45" customHeight="1">
      <c r="A18" s="48"/>
      <c r="B18" s="54"/>
      <c r="C18" s="60" t="s">
        <v>80</v>
      </c>
      <c r="D18" s="55"/>
      <c r="E18" s="56"/>
      <c r="F18" s="63">
        <v>3571.44</v>
      </c>
      <c r="G18" s="57"/>
      <c r="H18" s="57"/>
      <c r="I18" s="48"/>
    </row>
    <row r="19" spans="1:10" ht="15">
      <c r="A19" s="48"/>
      <c r="B19" s="54"/>
      <c r="C19" s="60" t="s">
        <v>139</v>
      </c>
      <c r="D19" s="55"/>
      <c r="E19" s="56"/>
      <c r="F19" s="63">
        <v>5000</v>
      </c>
      <c r="G19" s="57">
        <f>F19+F18+F17</f>
        <v>201070.41</v>
      </c>
      <c r="H19" s="57">
        <f>G19+G15+G11</f>
        <v>280604.28000000003</v>
      </c>
      <c r="I19" s="48"/>
    </row>
    <row r="20" spans="1:10" ht="15">
      <c r="A20" s="48"/>
      <c r="B20" s="54"/>
      <c r="C20" s="131" t="s">
        <v>140</v>
      </c>
      <c r="D20" s="55"/>
      <c r="E20" s="56"/>
      <c r="F20" s="63"/>
      <c r="G20" s="57"/>
      <c r="H20" s="57"/>
      <c r="I20" s="48"/>
    </row>
    <row r="21" spans="1:10" ht="15" thickBot="1">
      <c r="A21" s="48"/>
      <c r="B21" s="54"/>
      <c r="C21" s="60" t="s">
        <v>141</v>
      </c>
      <c r="D21" s="55"/>
      <c r="E21" s="56"/>
      <c r="F21" s="57">
        <v>12748.14</v>
      </c>
      <c r="G21" s="57"/>
      <c r="H21" s="61"/>
      <c r="I21" s="48"/>
    </row>
    <row r="22" spans="1:10" ht="15">
      <c r="A22" s="48"/>
      <c r="B22" s="54"/>
      <c r="C22" s="132" t="s">
        <v>142</v>
      </c>
      <c r="D22" s="55"/>
      <c r="E22" s="56"/>
      <c r="F22" s="57">
        <v>114285.7</v>
      </c>
      <c r="G22" s="57"/>
      <c r="H22" s="64"/>
      <c r="I22" s="48"/>
      <c r="J22" s="22"/>
    </row>
    <row r="23" spans="1:10" ht="15">
      <c r="A23" s="48"/>
      <c r="B23" s="54"/>
      <c r="C23" s="133" t="s">
        <v>143</v>
      </c>
      <c r="D23" s="55"/>
      <c r="E23" s="56"/>
      <c r="F23" s="57">
        <v>252000</v>
      </c>
      <c r="G23" s="57"/>
      <c r="H23" s="57"/>
      <c r="I23" s="48"/>
      <c r="J23" s="22"/>
    </row>
    <row r="24" spans="1:10" ht="15">
      <c r="A24" s="48"/>
      <c r="B24" s="54"/>
      <c r="C24" s="133" t="s">
        <v>98</v>
      </c>
      <c r="D24" s="55"/>
      <c r="E24" s="56"/>
      <c r="F24" s="57">
        <v>2168.2600000000002</v>
      </c>
      <c r="G24" s="57">
        <f>F24+F23+F22+F21</f>
        <v>381202.10000000003</v>
      </c>
      <c r="H24" s="57">
        <v>381202.1</v>
      </c>
      <c r="I24" s="48"/>
      <c r="J24" s="22"/>
    </row>
    <row r="25" spans="1:10" ht="15">
      <c r="A25" s="48"/>
      <c r="B25" s="54"/>
      <c r="C25" s="134" t="s">
        <v>144</v>
      </c>
      <c r="D25" s="55"/>
      <c r="E25" s="56"/>
      <c r="F25" s="57"/>
      <c r="G25" s="57"/>
      <c r="H25" s="57">
        <f>H24+H19</f>
        <v>661806.38</v>
      </c>
      <c r="I25" s="48"/>
      <c r="J25" s="22"/>
    </row>
    <row r="26" spans="1:10" ht="15" thickBot="1">
      <c r="A26" s="48"/>
      <c r="B26" s="54"/>
      <c r="C26" s="65" t="s">
        <v>145</v>
      </c>
      <c r="D26" s="55"/>
      <c r="E26" s="56"/>
      <c r="F26" s="57"/>
      <c r="G26" s="57"/>
      <c r="H26" s="57"/>
      <c r="I26" s="48"/>
    </row>
    <row r="27" spans="1:10" ht="15">
      <c r="A27" s="48"/>
      <c r="B27" s="54"/>
      <c r="C27" s="62" t="s">
        <v>134</v>
      </c>
      <c r="D27" s="55"/>
      <c r="E27" s="56"/>
      <c r="F27" s="57"/>
      <c r="G27" s="57"/>
      <c r="H27" s="57"/>
      <c r="I27" s="48"/>
    </row>
    <row r="28" spans="1:10" ht="15">
      <c r="A28" s="48"/>
      <c r="B28" s="54"/>
      <c r="C28" s="60" t="s">
        <v>40</v>
      </c>
      <c r="D28" s="55"/>
      <c r="E28" s="56"/>
      <c r="F28" s="57">
        <v>37000</v>
      </c>
      <c r="G28" s="57"/>
      <c r="H28" s="57"/>
      <c r="I28" s="48"/>
    </row>
    <row r="29" spans="1:10" ht="15">
      <c r="A29" s="48"/>
      <c r="B29" s="54"/>
      <c r="C29" s="60" t="s">
        <v>146</v>
      </c>
      <c r="D29" s="55"/>
      <c r="E29" s="56"/>
      <c r="F29" s="57">
        <v>4000</v>
      </c>
      <c r="G29" s="57"/>
      <c r="H29" s="57"/>
      <c r="I29" s="48"/>
    </row>
    <row r="30" spans="1:10" ht="15">
      <c r="A30" s="48"/>
      <c r="B30" s="54"/>
      <c r="C30" s="60" t="s">
        <v>113</v>
      </c>
      <c r="D30" s="55"/>
      <c r="E30" s="56"/>
      <c r="F30" s="57">
        <v>20000</v>
      </c>
      <c r="G30" s="57">
        <f>F28+F29+F30</f>
        <v>61000</v>
      </c>
      <c r="H30" s="57">
        <v>61000</v>
      </c>
      <c r="I30" s="48"/>
    </row>
    <row r="31" spans="1:10" ht="15">
      <c r="A31" s="48"/>
      <c r="B31" s="54"/>
      <c r="C31" s="135" t="s">
        <v>147</v>
      </c>
      <c r="D31" s="55"/>
      <c r="E31" s="56"/>
      <c r="F31" s="57"/>
      <c r="G31" s="57"/>
      <c r="H31" s="57"/>
      <c r="I31" s="48"/>
    </row>
    <row r="32" spans="1:10" ht="15" thickBot="1">
      <c r="A32" s="48"/>
      <c r="B32" s="54"/>
      <c r="C32" s="60" t="s">
        <v>148</v>
      </c>
      <c r="D32" s="55"/>
      <c r="E32" s="56"/>
      <c r="F32" s="57">
        <v>100000</v>
      </c>
      <c r="G32" s="61">
        <v>100000</v>
      </c>
      <c r="H32" s="61">
        <v>100000</v>
      </c>
      <c r="I32" s="48"/>
    </row>
    <row r="33" spans="1:10" ht="15.6" thickTop="1" thickBot="1">
      <c r="A33" s="48"/>
      <c r="B33" s="54"/>
      <c r="C33" s="62" t="s">
        <v>149</v>
      </c>
      <c r="D33" s="55"/>
      <c r="E33" s="56"/>
      <c r="F33" s="57"/>
      <c r="G33" s="57"/>
      <c r="H33" s="64">
        <f>SUM(G28:G32)</f>
        <v>161000</v>
      </c>
      <c r="I33" s="48"/>
    </row>
    <row r="34" spans="1:10" ht="15" thickBot="1">
      <c r="A34" s="48"/>
      <c r="B34" s="54"/>
      <c r="C34" s="65" t="s">
        <v>49</v>
      </c>
      <c r="D34" s="55"/>
      <c r="E34" s="56"/>
      <c r="F34" s="57"/>
      <c r="G34" s="57"/>
      <c r="H34" s="57">
        <f>H25-H33</f>
        <v>500806.38</v>
      </c>
      <c r="I34" s="48"/>
      <c r="J34" s="22"/>
    </row>
    <row r="35" spans="1:10" ht="30" thickTop="1" thickBot="1">
      <c r="A35" s="48"/>
      <c r="B35" s="54"/>
      <c r="C35" s="60" t="s">
        <v>150</v>
      </c>
      <c r="D35" s="55"/>
      <c r="E35" s="56"/>
      <c r="F35" s="57"/>
      <c r="G35" s="57"/>
      <c r="H35" s="64">
        <f>H33+H34</f>
        <v>661806.38</v>
      </c>
      <c r="I35" s="48"/>
    </row>
    <row r="36" spans="1:10" ht="15" thickTop="1">
      <c r="A36" s="48"/>
      <c r="B36" s="54"/>
      <c r="C36" s="54"/>
      <c r="D36" s="183"/>
      <c r="E36" s="184"/>
      <c r="F36" s="184"/>
      <c r="G36" s="184"/>
      <c r="H36" s="185"/>
      <c r="I36" s="48"/>
    </row>
    <row r="37" spans="1:10">
      <c r="A37" s="48"/>
      <c r="B37" s="54"/>
      <c r="C37" s="54"/>
      <c r="D37" s="55"/>
      <c r="E37" s="56"/>
      <c r="F37" s="57"/>
      <c r="G37" s="57"/>
      <c r="H37" s="57"/>
      <c r="I37" s="48"/>
    </row>
    <row r="38" spans="1:10" ht="15" thickBot="1">
      <c r="A38" s="48"/>
      <c r="B38" s="54"/>
      <c r="C38" s="54"/>
      <c r="D38" s="66" t="s">
        <v>120</v>
      </c>
      <c r="E38" s="56"/>
      <c r="F38" s="57"/>
      <c r="G38" s="57"/>
      <c r="H38" s="57"/>
      <c r="I38" s="48"/>
    </row>
    <row r="39" spans="1:10" ht="15" thickTop="1">
      <c r="A39" s="48"/>
      <c r="B39" s="54"/>
      <c r="C39" s="54"/>
      <c r="D39" s="67" t="s">
        <v>125</v>
      </c>
      <c r="E39" s="56"/>
      <c r="F39" s="57"/>
      <c r="G39" s="57"/>
      <c r="H39" s="57"/>
      <c r="I39" s="48"/>
    </row>
    <row r="40" spans="1:10">
      <c r="A40" s="48"/>
      <c r="B40" s="54"/>
      <c r="C40" s="54"/>
      <c r="D40" s="67" t="s">
        <v>126</v>
      </c>
      <c r="E40" s="56"/>
      <c r="F40" s="57"/>
      <c r="G40" s="57"/>
      <c r="H40" s="57"/>
      <c r="I40" s="48"/>
    </row>
    <row r="41" spans="1:10">
      <c r="A41" s="48"/>
      <c r="B41" s="54"/>
      <c r="C41" s="54"/>
      <c r="D41" s="55"/>
      <c r="E41" s="56"/>
      <c r="F41" s="57"/>
      <c r="G41" s="57"/>
      <c r="H41" s="57"/>
      <c r="I41" s="48"/>
    </row>
    <row r="42" spans="1:10" ht="15" thickBot="1">
      <c r="A42" s="48"/>
      <c r="B42" s="54"/>
      <c r="C42" s="66" t="s">
        <v>120</v>
      </c>
      <c r="D42" s="55"/>
      <c r="E42" s="56"/>
      <c r="F42" s="57"/>
      <c r="G42" s="57"/>
      <c r="H42" s="57"/>
      <c r="I42" s="48"/>
    </row>
    <row r="43" spans="1:10" ht="15" thickTop="1">
      <c r="A43" s="48"/>
      <c r="B43" s="54"/>
      <c r="C43" s="63" t="s">
        <v>151</v>
      </c>
      <c r="D43" s="55"/>
      <c r="E43" s="56"/>
      <c r="F43" s="57"/>
      <c r="G43" s="57"/>
      <c r="H43" s="57"/>
      <c r="I43" s="48"/>
    </row>
    <row r="44" spans="1:10">
      <c r="A44" s="48"/>
      <c r="B44" s="54"/>
      <c r="C44" s="54" t="s">
        <v>124</v>
      </c>
      <c r="D44" s="55"/>
      <c r="E44" s="56"/>
      <c r="F44" s="57"/>
      <c r="G44" s="57"/>
      <c r="H44" s="57"/>
      <c r="I44" s="48"/>
    </row>
    <row r="45" spans="1:10">
      <c r="A45" s="48"/>
      <c r="B45" s="54"/>
      <c r="C45" s="54"/>
      <c r="D45" s="55"/>
      <c r="E45" s="56"/>
      <c r="F45" s="57"/>
      <c r="G45" s="57"/>
      <c r="H45" s="57"/>
      <c r="I45" s="48"/>
    </row>
    <row r="46" spans="1:10">
      <c r="A46" s="48"/>
      <c r="B46" s="54"/>
      <c r="C46" s="54" t="s">
        <v>152</v>
      </c>
      <c r="D46" s="55"/>
      <c r="E46" s="56"/>
      <c r="F46" s="57"/>
      <c r="G46" s="57"/>
      <c r="H46" s="57"/>
      <c r="I46" s="48"/>
    </row>
    <row r="47" spans="1:10">
      <c r="A47" s="48"/>
      <c r="B47" s="54"/>
      <c r="C47" s="54" t="s">
        <v>153</v>
      </c>
      <c r="D47" s="55"/>
      <c r="E47" s="56"/>
      <c r="F47" s="57"/>
      <c r="G47" s="57"/>
      <c r="H47" s="57"/>
      <c r="I47" s="48"/>
    </row>
    <row r="48" spans="1:10">
      <c r="A48" s="48"/>
      <c r="B48" s="54"/>
      <c r="C48" s="54" t="s">
        <v>154</v>
      </c>
      <c r="D48" s="55"/>
      <c r="E48" s="56"/>
      <c r="F48" s="57"/>
      <c r="G48" s="57"/>
      <c r="H48" s="57"/>
      <c r="I48" s="48"/>
    </row>
    <row r="49" spans="1:9">
      <c r="A49" s="48"/>
      <c r="B49" s="54"/>
      <c r="C49" s="54"/>
      <c r="D49" s="55"/>
      <c r="E49" s="56"/>
      <c r="F49" s="57"/>
      <c r="G49" s="57"/>
      <c r="H49" s="57"/>
      <c r="I49" s="48"/>
    </row>
    <row r="50" spans="1:9">
      <c r="A50" s="48"/>
      <c r="B50" s="54"/>
      <c r="C50" s="54"/>
      <c r="D50" s="55"/>
      <c r="E50" s="56"/>
      <c r="F50" s="57"/>
      <c r="G50" s="57"/>
      <c r="H50" s="57"/>
      <c r="I50" s="48"/>
    </row>
    <row r="51" spans="1:9">
      <c r="A51" s="48"/>
      <c r="B51" s="54"/>
      <c r="C51" s="54"/>
      <c r="D51" s="55"/>
      <c r="E51" s="56"/>
      <c r="F51" s="57"/>
      <c r="G51" s="57"/>
      <c r="H51" s="57"/>
      <c r="I51" s="48"/>
    </row>
    <row r="52" spans="1:9">
      <c r="A52" s="48"/>
      <c r="B52" s="54"/>
      <c r="C52" s="54"/>
      <c r="D52" s="55"/>
      <c r="E52" s="56"/>
      <c r="F52" s="57"/>
      <c r="G52" s="57"/>
      <c r="H52" s="57"/>
      <c r="I52" s="48"/>
    </row>
    <row r="53" spans="1:9">
      <c r="A53" s="48"/>
      <c r="B53" s="54"/>
      <c r="C53" s="54"/>
      <c r="D53" s="55"/>
      <c r="E53" s="56"/>
      <c r="F53" s="57"/>
      <c r="G53" s="57"/>
      <c r="H53" s="57"/>
      <c r="I53" s="48"/>
    </row>
    <row r="54" spans="1:9">
      <c r="A54" s="48"/>
      <c r="B54" s="54"/>
      <c r="C54" s="54"/>
      <c r="D54" s="55"/>
      <c r="E54" s="56"/>
      <c r="F54" s="57"/>
      <c r="G54" s="57"/>
      <c r="H54" s="57"/>
      <c r="I54" s="48"/>
    </row>
    <row r="55" spans="1:9">
      <c r="A55" s="48"/>
      <c r="B55" s="54"/>
      <c r="C55" s="54"/>
      <c r="D55" s="55"/>
      <c r="E55" s="56"/>
      <c r="F55" s="57"/>
      <c r="G55" s="57"/>
      <c r="H55" s="57"/>
      <c r="I55" s="48"/>
    </row>
    <row r="56" spans="1:9">
      <c r="A56" s="48"/>
      <c r="B56" s="54"/>
      <c r="C56" s="54"/>
      <c r="D56" s="55"/>
      <c r="E56" s="56"/>
      <c r="F56" s="57"/>
      <c r="G56" s="57"/>
      <c r="H56" s="57"/>
      <c r="I56" s="48"/>
    </row>
    <row r="57" spans="1:9">
      <c r="A57" s="48"/>
      <c r="B57" s="54"/>
      <c r="C57" s="54"/>
      <c r="D57" s="55"/>
      <c r="E57" s="56"/>
      <c r="F57" s="57"/>
      <c r="G57" s="57"/>
      <c r="H57" s="57"/>
      <c r="I57" s="48"/>
    </row>
    <row r="58" spans="1:9">
      <c r="A58" s="48"/>
      <c r="B58" s="54"/>
      <c r="C58" s="54"/>
      <c r="D58" s="55"/>
      <c r="E58" s="56"/>
      <c r="F58" s="57"/>
      <c r="G58" s="57"/>
      <c r="H58" s="57"/>
      <c r="I58" s="48"/>
    </row>
    <row r="59" spans="1:9">
      <c r="A59" s="48"/>
      <c r="B59" s="54"/>
      <c r="C59" s="54"/>
      <c r="D59" s="55"/>
      <c r="E59" s="56"/>
      <c r="F59" s="57"/>
      <c r="G59" s="57"/>
      <c r="H59" s="57"/>
      <c r="I59" s="48"/>
    </row>
    <row r="60" spans="1:9">
      <c r="A60" s="48"/>
      <c r="B60" s="54"/>
      <c r="C60" s="54"/>
      <c r="D60" s="55"/>
      <c r="E60" s="56"/>
      <c r="F60" s="57"/>
      <c r="G60" s="57"/>
      <c r="H60" s="57"/>
      <c r="I60" s="48"/>
    </row>
    <row r="61" spans="1:9">
      <c r="A61" s="48"/>
      <c r="B61" s="54"/>
      <c r="C61" s="54"/>
      <c r="D61" s="55"/>
      <c r="E61" s="56"/>
      <c r="F61" s="57"/>
      <c r="G61" s="57"/>
      <c r="H61" s="57"/>
      <c r="I61" s="48"/>
    </row>
    <row r="62" spans="1:9">
      <c r="A62" s="48"/>
      <c r="B62" s="54"/>
      <c r="C62" s="54"/>
      <c r="D62" s="55"/>
      <c r="E62" s="56"/>
      <c r="F62" s="57"/>
      <c r="G62" s="57"/>
      <c r="H62" s="57"/>
      <c r="I62" s="48"/>
    </row>
    <row r="63" spans="1:9">
      <c r="A63" s="48"/>
      <c r="B63" s="54"/>
      <c r="C63" s="54"/>
      <c r="D63" s="55"/>
      <c r="E63" s="56"/>
      <c r="F63" s="57"/>
      <c r="G63" s="57"/>
      <c r="H63" s="57"/>
      <c r="I63" s="48"/>
    </row>
    <row r="64" spans="1:9">
      <c r="A64" s="48"/>
      <c r="B64" s="54"/>
      <c r="C64" s="54"/>
      <c r="D64" s="55"/>
      <c r="E64" s="56"/>
      <c r="F64" s="57"/>
      <c r="G64" s="57"/>
      <c r="H64" s="57"/>
      <c r="I64" s="48"/>
    </row>
    <row r="65" spans="1:9">
      <c r="A65" s="48"/>
      <c r="B65" s="54"/>
      <c r="C65" s="54"/>
      <c r="D65" s="55"/>
      <c r="E65" s="56"/>
      <c r="F65" s="57"/>
      <c r="G65" s="57"/>
      <c r="H65" s="57"/>
      <c r="I65" s="48"/>
    </row>
    <row r="66" spans="1:9">
      <c r="A66" s="48"/>
      <c r="B66" s="54"/>
      <c r="C66" s="54"/>
      <c r="D66" s="55"/>
      <c r="E66" s="56"/>
      <c r="F66" s="57"/>
      <c r="G66" s="57"/>
      <c r="H66" s="57"/>
      <c r="I66" s="48"/>
    </row>
    <row r="67" spans="1:9">
      <c r="A67" s="48"/>
      <c r="B67" s="54"/>
      <c r="C67" s="54"/>
      <c r="D67" s="55"/>
      <c r="E67" s="56"/>
      <c r="F67" s="57"/>
      <c r="G67" s="57"/>
      <c r="H67" s="57"/>
      <c r="I67" s="48"/>
    </row>
    <row r="68" spans="1:9">
      <c r="A68" s="48"/>
      <c r="B68" s="54"/>
      <c r="C68" s="54"/>
      <c r="D68" s="55"/>
      <c r="E68" s="56"/>
      <c r="F68" s="57"/>
      <c r="G68" s="57"/>
      <c r="H68" s="57"/>
      <c r="I68" s="48"/>
    </row>
    <row r="69" spans="1:9">
      <c r="A69" s="48"/>
      <c r="B69" s="54"/>
      <c r="C69" s="54"/>
      <c r="D69" s="55"/>
      <c r="E69" s="56"/>
      <c r="F69" s="57"/>
      <c r="G69" s="57"/>
      <c r="H69" s="57"/>
      <c r="I69" s="48"/>
    </row>
    <row r="70" spans="1:9">
      <c r="A70" s="48"/>
      <c r="B70" s="54"/>
      <c r="C70" s="54"/>
      <c r="D70" s="55"/>
      <c r="E70" s="56"/>
      <c r="F70" s="57"/>
      <c r="G70" s="57"/>
      <c r="H70" s="57"/>
      <c r="I70" s="48"/>
    </row>
    <row r="71" spans="1:9">
      <c r="A71" s="48"/>
      <c r="B71" s="54"/>
      <c r="C71" s="54"/>
      <c r="D71" s="55"/>
      <c r="E71" s="56"/>
      <c r="F71" s="57"/>
      <c r="G71" s="57"/>
      <c r="H71" s="57"/>
      <c r="I71" s="48"/>
    </row>
    <row r="72" spans="1:9">
      <c r="A72" s="48"/>
      <c r="B72" s="54"/>
      <c r="C72" s="54"/>
      <c r="D72" s="55"/>
      <c r="E72" s="56"/>
      <c r="F72" s="57"/>
      <c r="G72" s="57"/>
      <c r="H72" s="57"/>
      <c r="I72" s="48"/>
    </row>
    <row r="73" spans="1:9">
      <c r="A73" s="48"/>
      <c r="B73" s="54"/>
      <c r="C73" s="54"/>
      <c r="D73" s="55"/>
      <c r="E73" s="56"/>
      <c r="F73" s="57"/>
      <c r="G73" s="57"/>
      <c r="H73" s="57"/>
      <c r="I73" s="48"/>
    </row>
    <row r="74" spans="1:9">
      <c r="A74" s="48"/>
      <c r="B74" s="54"/>
      <c r="C74" s="54"/>
      <c r="D74" s="55"/>
      <c r="E74" s="56"/>
      <c r="F74" s="57"/>
      <c r="G74" s="57"/>
      <c r="H74" s="57"/>
      <c r="I74" s="48"/>
    </row>
    <row r="75" spans="1:9">
      <c r="A75" s="48"/>
      <c r="B75" s="54"/>
      <c r="C75" s="54"/>
      <c r="D75" s="55"/>
      <c r="E75" s="56"/>
      <c r="F75" s="57"/>
      <c r="G75" s="57"/>
      <c r="H75" s="57"/>
      <c r="I75" s="48"/>
    </row>
    <row r="76" spans="1:9">
      <c r="A76" s="48"/>
      <c r="B76" s="54"/>
      <c r="C76" s="54"/>
      <c r="D76" s="55"/>
      <c r="E76" s="56"/>
      <c r="F76" s="57"/>
      <c r="G76" s="57"/>
      <c r="H76" s="57"/>
      <c r="I76" s="48"/>
    </row>
    <row r="77" spans="1:9">
      <c r="A77" s="48"/>
      <c r="B77" s="54"/>
      <c r="C77" s="54"/>
      <c r="D77" s="55"/>
      <c r="E77" s="56"/>
      <c r="F77" s="57"/>
      <c r="G77" s="57"/>
      <c r="H77" s="57"/>
      <c r="I77" s="48"/>
    </row>
    <row r="78" spans="1:9">
      <c r="A78" s="48"/>
      <c r="B78" s="54"/>
      <c r="C78" s="54"/>
      <c r="D78" s="55"/>
      <c r="E78" s="56"/>
      <c r="F78" s="57"/>
      <c r="G78" s="57"/>
      <c r="H78" s="57"/>
      <c r="I78" s="48"/>
    </row>
    <row r="79" spans="1:9">
      <c r="A79" s="48"/>
      <c r="B79" s="54"/>
      <c r="C79" s="54"/>
      <c r="D79" s="55"/>
      <c r="E79" s="56"/>
      <c r="F79" s="57"/>
      <c r="G79" s="57"/>
      <c r="H79" s="57"/>
      <c r="I79" s="48"/>
    </row>
    <row r="80" spans="1:9">
      <c r="A80" s="48"/>
      <c r="B80" s="54"/>
      <c r="C80" s="54"/>
      <c r="D80" s="55"/>
      <c r="E80" s="56"/>
      <c r="F80" s="57"/>
      <c r="G80" s="57"/>
      <c r="H80" s="57"/>
      <c r="I80" s="48"/>
    </row>
    <row r="81" spans="1:9">
      <c r="A81" s="48"/>
      <c r="B81" s="54"/>
      <c r="C81" s="54"/>
      <c r="D81" s="55"/>
      <c r="E81" s="56"/>
      <c r="F81" s="57"/>
      <c r="G81" s="57"/>
      <c r="H81" s="57"/>
      <c r="I81" s="48"/>
    </row>
    <row r="82" spans="1:9">
      <c r="A82" s="48"/>
      <c r="B82" s="54"/>
      <c r="C82" s="54"/>
      <c r="D82" s="55"/>
      <c r="E82" s="56"/>
      <c r="F82" s="57"/>
      <c r="G82" s="57"/>
      <c r="H82" s="57"/>
      <c r="I82" s="48"/>
    </row>
    <row r="83" spans="1:9">
      <c r="A83" s="48"/>
      <c r="B83" s="54"/>
      <c r="C83" s="54"/>
      <c r="D83" s="55"/>
      <c r="E83" s="56"/>
      <c r="F83" s="57"/>
      <c r="G83" s="57"/>
      <c r="H83" s="57"/>
      <c r="I83" s="48"/>
    </row>
    <row r="84" spans="1:9">
      <c r="A84" s="48"/>
      <c r="B84" s="54"/>
      <c r="C84" s="54"/>
      <c r="D84" s="55"/>
      <c r="E84" s="56"/>
      <c r="F84" s="57"/>
      <c r="G84" s="57"/>
      <c r="H84" s="57"/>
      <c r="I84" s="48"/>
    </row>
    <row r="85" spans="1:9">
      <c r="A85" s="48"/>
      <c r="B85" s="54"/>
      <c r="C85" s="54"/>
      <c r="D85" s="55"/>
      <c r="E85" s="56"/>
      <c r="F85" s="57"/>
      <c r="G85" s="57"/>
      <c r="H85" s="57"/>
      <c r="I85" s="48"/>
    </row>
    <row r="86" spans="1:9">
      <c r="A86" s="48"/>
      <c r="B86" s="54"/>
      <c r="C86" s="54"/>
      <c r="D86" s="55"/>
      <c r="E86" s="56"/>
      <c r="F86" s="57"/>
      <c r="G86" s="57"/>
      <c r="H86" s="57"/>
      <c r="I86" s="48"/>
    </row>
    <row r="87" spans="1:9">
      <c r="A87" s="48"/>
      <c r="B87" s="54"/>
      <c r="C87" s="54"/>
      <c r="D87" s="55"/>
      <c r="E87" s="56"/>
      <c r="F87" s="57"/>
      <c r="G87" s="57"/>
      <c r="H87" s="57"/>
      <c r="I87" s="48"/>
    </row>
    <row r="88" spans="1:9">
      <c r="A88" s="48"/>
      <c r="B88" s="54"/>
      <c r="C88" s="54"/>
      <c r="D88" s="55"/>
      <c r="E88" s="56"/>
      <c r="F88" s="57"/>
      <c r="G88" s="57"/>
      <c r="H88" s="57"/>
      <c r="I88" s="48"/>
    </row>
    <row r="89" spans="1:9">
      <c r="A89" s="48"/>
      <c r="B89" s="54"/>
      <c r="C89" s="54"/>
      <c r="D89" s="55"/>
      <c r="E89" s="56"/>
      <c r="F89" s="57"/>
      <c r="G89" s="57"/>
      <c r="H89" s="57"/>
      <c r="I89" s="48"/>
    </row>
    <row r="90" spans="1:9">
      <c r="A90" s="48"/>
      <c r="B90" s="54"/>
      <c r="C90" s="54"/>
      <c r="D90" s="55"/>
      <c r="E90" s="56"/>
      <c r="F90" s="57"/>
      <c r="G90" s="57"/>
      <c r="H90" s="57"/>
      <c r="I90" s="48"/>
    </row>
    <row r="91" spans="1:9">
      <c r="A91" s="48"/>
      <c r="B91" s="54"/>
      <c r="C91" s="54"/>
      <c r="D91" s="55"/>
      <c r="E91" s="56"/>
      <c r="F91" s="57"/>
      <c r="G91" s="57"/>
      <c r="H91" s="57"/>
      <c r="I91" s="48"/>
    </row>
    <row r="92" spans="1:9">
      <c r="A92" s="48"/>
      <c r="B92" s="54"/>
      <c r="C92" s="54"/>
      <c r="D92" s="55"/>
      <c r="E92" s="56"/>
      <c r="F92" s="57"/>
      <c r="G92" s="57"/>
      <c r="H92" s="57"/>
      <c r="I92" s="48"/>
    </row>
    <row r="93" spans="1:9">
      <c r="A93" s="48"/>
      <c r="B93" s="54"/>
      <c r="C93" s="54"/>
      <c r="D93" s="55"/>
      <c r="E93" s="56"/>
      <c r="F93" s="57"/>
      <c r="G93" s="57"/>
      <c r="H93" s="57"/>
      <c r="I93" s="48"/>
    </row>
    <row r="94" spans="1:9">
      <c r="A94" s="48"/>
      <c r="B94" s="54"/>
      <c r="C94" s="54"/>
      <c r="D94" s="55"/>
      <c r="E94" s="56"/>
      <c r="F94" s="57"/>
      <c r="G94" s="57"/>
      <c r="H94" s="57"/>
      <c r="I94" s="48"/>
    </row>
    <row r="95" spans="1:9">
      <c r="A95" s="48"/>
      <c r="B95" s="68"/>
      <c r="C95" s="68"/>
      <c r="D95" s="69"/>
      <c r="E95" s="70"/>
      <c r="F95" s="71"/>
      <c r="G95" s="71"/>
      <c r="H95" s="71"/>
      <c r="I95" s="48"/>
    </row>
    <row r="96" spans="1:9">
      <c r="A96" s="48"/>
      <c r="B96" s="68"/>
      <c r="C96" s="68"/>
      <c r="D96" s="69"/>
      <c r="E96" s="70"/>
      <c r="F96" s="71"/>
      <c r="G96" s="71"/>
      <c r="H96" s="71"/>
      <c r="I96" s="48"/>
    </row>
    <row r="97" spans="1:9">
      <c r="A97" s="48"/>
      <c r="B97" s="68"/>
      <c r="C97" s="68"/>
      <c r="D97" s="69"/>
      <c r="E97" s="70"/>
      <c r="F97" s="71"/>
      <c r="G97" s="71"/>
      <c r="H97" s="71"/>
      <c r="I97" s="48"/>
    </row>
    <row r="98" spans="1:9">
      <c r="A98" s="48"/>
      <c r="B98" s="68"/>
      <c r="C98" s="68"/>
      <c r="D98" s="69"/>
      <c r="E98" s="70"/>
      <c r="F98" s="71"/>
      <c r="G98" s="71"/>
      <c r="H98" s="71"/>
      <c r="I98" s="48"/>
    </row>
    <row r="99" spans="1:9">
      <c r="A99" s="48"/>
      <c r="B99" s="68"/>
      <c r="C99" s="68"/>
      <c r="D99" s="69"/>
      <c r="E99" s="70"/>
      <c r="F99" s="71"/>
      <c r="G99" s="71"/>
      <c r="H99" s="71"/>
      <c r="I99" s="48"/>
    </row>
    <row r="100" spans="1:9">
      <c r="A100" s="48"/>
      <c r="B100" s="68"/>
      <c r="C100" s="68"/>
      <c r="D100" s="69"/>
      <c r="E100" s="70"/>
      <c r="F100" s="71"/>
      <c r="G100" s="71"/>
      <c r="H100" s="71"/>
      <c r="I100" s="48"/>
    </row>
    <row r="101" spans="1:9">
      <c r="A101" s="48"/>
      <c r="B101" s="68"/>
      <c r="C101" s="68"/>
      <c r="D101" s="69"/>
      <c r="E101" s="70"/>
      <c r="F101" s="71"/>
      <c r="G101" s="71"/>
      <c r="H101" s="71"/>
      <c r="I101" s="48"/>
    </row>
    <row r="102" spans="1:9">
      <c r="A102" s="48"/>
      <c r="B102" s="68"/>
      <c r="C102" s="68"/>
      <c r="D102" s="69"/>
      <c r="E102" s="70"/>
      <c r="F102" s="71"/>
      <c r="G102" s="71"/>
      <c r="H102" s="71"/>
      <c r="I102" s="48"/>
    </row>
    <row r="103" spans="1:9">
      <c r="A103" s="48"/>
      <c r="B103" s="48"/>
      <c r="C103" s="48"/>
      <c r="D103" s="48"/>
      <c r="E103" s="48"/>
      <c r="F103" s="48"/>
      <c r="G103" s="48"/>
      <c r="H103" s="48"/>
      <c r="I103" s="48"/>
    </row>
    <row r="104" spans="1:9">
      <c r="A104" s="48"/>
      <c r="B104" s="48"/>
      <c r="C104" s="48"/>
      <c r="D104" s="48"/>
      <c r="E104" s="48"/>
      <c r="F104" s="48"/>
      <c r="G104" s="48"/>
      <c r="H104" s="48"/>
      <c r="I104" s="48"/>
    </row>
    <row r="105" spans="1:9">
      <c r="A105" s="48"/>
      <c r="B105" s="48"/>
      <c r="C105" s="48"/>
      <c r="D105" s="48"/>
      <c r="E105" s="48"/>
      <c r="F105" s="48"/>
      <c r="G105" s="48"/>
      <c r="H105" s="48"/>
      <c r="I105" s="48"/>
    </row>
    <row r="106" spans="1:9">
      <c r="A106" s="48"/>
      <c r="B106" s="48"/>
      <c r="C106" s="48"/>
      <c r="D106" s="48"/>
      <c r="E106" s="48"/>
      <c r="F106" s="48"/>
      <c r="G106" s="48"/>
      <c r="H106" s="48"/>
      <c r="I106" s="48"/>
    </row>
    <row r="107" spans="1:9">
      <c r="A107" s="48"/>
      <c r="B107" s="48"/>
      <c r="C107" s="48"/>
      <c r="D107" s="48"/>
      <c r="E107" s="48"/>
      <c r="F107" s="48"/>
      <c r="G107" s="48"/>
      <c r="H107" s="48"/>
      <c r="I107" s="48"/>
    </row>
  </sheetData>
  <mergeCells count="5">
    <mergeCell ref="D3:G3"/>
    <mergeCell ref="D4:G4"/>
    <mergeCell ref="D36:H36"/>
    <mergeCell ref="C5:H5"/>
    <mergeCell ref="A2:I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6"/>
  <sheetViews>
    <sheetView topLeftCell="A71" zoomScale="110" workbookViewId="0">
      <selection activeCell="B86" sqref="B86"/>
    </sheetView>
  </sheetViews>
  <sheetFormatPr defaultColWidth="11.42578125" defaultRowHeight="14.45"/>
  <cols>
    <col min="1" max="1" width="7.140625" bestFit="1" customWidth="1"/>
    <col min="2" max="2" width="51" customWidth="1"/>
    <col min="3" max="4" width="11.42578125" style="22"/>
    <col min="6" max="9" width="11.42578125" style="48"/>
  </cols>
  <sheetData>
    <row r="1" spans="1:5">
      <c r="C1" s="79"/>
      <c r="E1" s="22"/>
    </row>
    <row r="2" spans="1:5" ht="15" thickBot="1">
      <c r="B2" s="5"/>
      <c r="C2" s="80"/>
      <c r="D2" s="23"/>
      <c r="E2" s="23"/>
    </row>
    <row r="3" spans="1:5" ht="15" thickTop="1">
      <c r="B3" s="7" t="s">
        <v>155</v>
      </c>
      <c r="C3" s="177"/>
      <c r="D3" s="177"/>
      <c r="E3" s="177"/>
    </row>
    <row r="4" spans="1:5">
      <c r="C4" s="178"/>
      <c r="D4" s="178"/>
      <c r="E4" s="178"/>
    </row>
    <row r="5" spans="1:5" ht="15" thickBot="1">
      <c r="B5" s="1"/>
      <c r="C5" s="25"/>
      <c r="D5" s="24"/>
      <c r="E5" s="25"/>
    </row>
    <row r="6" spans="1:5" ht="15" thickTop="1">
      <c r="A6" t="s">
        <v>156</v>
      </c>
      <c r="B6" s="136" t="s">
        <v>157</v>
      </c>
      <c r="C6" s="81"/>
      <c r="D6" s="26"/>
      <c r="E6" s="26"/>
    </row>
    <row r="7" spans="1:5">
      <c r="B7" s="3" t="s">
        <v>6</v>
      </c>
      <c r="C7" s="101">
        <v>4635.6499999999996</v>
      </c>
      <c r="D7" s="27"/>
      <c r="E7" s="27"/>
    </row>
    <row r="8" spans="1:5">
      <c r="B8" s="3" t="s">
        <v>9</v>
      </c>
      <c r="C8" s="27">
        <v>24800</v>
      </c>
      <c r="D8" s="27"/>
      <c r="E8" s="27"/>
    </row>
    <row r="9" spans="1:5">
      <c r="B9" s="3" t="s">
        <v>137</v>
      </c>
      <c r="C9" s="27">
        <v>7700</v>
      </c>
      <c r="D9" s="27"/>
      <c r="E9" s="27"/>
    </row>
    <row r="10" spans="1:5">
      <c r="B10" s="3" t="s">
        <v>15</v>
      </c>
      <c r="C10" s="27">
        <v>3600</v>
      </c>
      <c r="D10" s="27"/>
      <c r="E10" s="27"/>
    </row>
    <row r="11" spans="1:5">
      <c r="B11" s="3" t="s">
        <v>158</v>
      </c>
      <c r="C11" s="27">
        <v>38798.22</v>
      </c>
      <c r="D11" s="27"/>
      <c r="E11" s="27"/>
    </row>
    <row r="12" spans="1:5">
      <c r="B12" s="3" t="s">
        <v>138</v>
      </c>
      <c r="C12" s="27">
        <v>192498.97</v>
      </c>
      <c r="D12" s="27"/>
      <c r="E12" s="27"/>
    </row>
    <row r="13" spans="1:5">
      <c r="B13" s="3" t="s">
        <v>78</v>
      </c>
      <c r="C13" s="27">
        <v>5000</v>
      </c>
      <c r="D13" s="27"/>
      <c r="E13" s="27"/>
    </row>
    <row r="14" spans="1:5">
      <c r="B14" s="3" t="s">
        <v>80</v>
      </c>
      <c r="C14" s="27">
        <v>3571.44</v>
      </c>
      <c r="D14" s="27"/>
      <c r="E14" s="27"/>
    </row>
    <row r="15" spans="1:5">
      <c r="B15" s="72" t="s">
        <v>26</v>
      </c>
      <c r="C15" s="27">
        <v>12748.14</v>
      </c>
      <c r="D15" s="27"/>
      <c r="E15" s="27"/>
    </row>
    <row r="16" spans="1:5">
      <c r="B16" s="72" t="s">
        <v>142</v>
      </c>
      <c r="C16" s="27">
        <v>114285.7</v>
      </c>
      <c r="D16" s="27"/>
      <c r="E16" s="27"/>
    </row>
    <row r="17" spans="1:5">
      <c r="B17" s="72" t="s">
        <v>159</v>
      </c>
      <c r="C17" s="27">
        <v>252000</v>
      </c>
      <c r="D17" s="27"/>
      <c r="E17" s="27"/>
    </row>
    <row r="18" spans="1:5">
      <c r="B18" s="73" t="s">
        <v>98</v>
      </c>
      <c r="C18" s="27">
        <v>2168.2600000000002</v>
      </c>
      <c r="D18" s="27"/>
      <c r="E18" s="27"/>
    </row>
    <row r="19" spans="1:5">
      <c r="B19" s="137" t="s">
        <v>40</v>
      </c>
      <c r="C19" s="27"/>
      <c r="D19" s="27">
        <v>37000</v>
      </c>
      <c r="E19" s="27"/>
    </row>
    <row r="20" spans="1:5">
      <c r="B20" s="137" t="s">
        <v>111</v>
      </c>
      <c r="C20" s="27"/>
      <c r="D20" s="27">
        <v>4000</v>
      </c>
      <c r="E20" s="27"/>
    </row>
    <row r="21" spans="1:5">
      <c r="B21" s="137" t="s">
        <v>113</v>
      </c>
      <c r="C21" s="27"/>
      <c r="D21" s="27">
        <v>20000</v>
      </c>
      <c r="E21" s="27"/>
    </row>
    <row r="22" spans="1:5">
      <c r="B22" s="137" t="s">
        <v>160</v>
      </c>
      <c r="C22" s="27"/>
      <c r="D22" s="27">
        <v>100000</v>
      </c>
      <c r="E22" s="27"/>
    </row>
    <row r="23" spans="1:5" ht="15" thickBot="1">
      <c r="B23" s="137" t="s">
        <v>161</v>
      </c>
      <c r="C23" s="31"/>
      <c r="D23" s="31">
        <f>C24-D22-D21-D20-D19</f>
        <v>500806.38</v>
      </c>
      <c r="E23" s="27"/>
    </row>
    <row r="24" spans="1:5" ht="45.75">
      <c r="B24" s="138" t="s">
        <v>162</v>
      </c>
      <c r="C24" s="27">
        <f>C18+C17+C16+C15+C14+C13+C12+C11+C10+C9+C8+C7</f>
        <v>661806.38</v>
      </c>
      <c r="D24" s="27">
        <f>D23+D22+D21+D20+D19</f>
        <v>661806.38</v>
      </c>
      <c r="E24" s="27"/>
    </row>
    <row r="25" spans="1:5">
      <c r="A25" t="s">
        <v>163</v>
      </c>
      <c r="B25" s="2"/>
      <c r="C25" s="27"/>
      <c r="D25" s="27"/>
      <c r="E25" s="27"/>
    </row>
    <row r="26" spans="1:5" ht="15">
      <c r="B26" s="74" t="s">
        <v>157</v>
      </c>
      <c r="C26" s="27"/>
      <c r="D26" s="27"/>
      <c r="E26" s="27"/>
    </row>
    <row r="27" spans="1:5">
      <c r="B27" s="2" t="s">
        <v>137</v>
      </c>
      <c r="C27" s="27">
        <v>8400</v>
      </c>
      <c r="D27" s="27"/>
      <c r="E27" s="27"/>
    </row>
    <row r="28" spans="1:5" ht="15" thickBot="1">
      <c r="B28" s="2" t="s">
        <v>164</v>
      </c>
      <c r="C28" s="31">
        <v>8400</v>
      </c>
      <c r="D28" s="31"/>
      <c r="E28" s="27"/>
    </row>
    <row r="29" spans="1:5" ht="15" thickTop="1">
      <c r="B29" s="139" t="s">
        <v>165</v>
      </c>
      <c r="C29" s="27"/>
      <c r="D29" s="27">
        <v>15000</v>
      </c>
      <c r="E29" s="27"/>
    </row>
    <row r="30" spans="1:5">
      <c r="B30" s="137" t="s">
        <v>166</v>
      </c>
      <c r="C30" s="27"/>
      <c r="D30" s="27">
        <v>1800</v>
      </c>
      <c r="E30" s="27"/>
    </row>
    <row r="31" spans="1:5">
      <c r="B31" s="2" t="s">
        <v>167</v>
      </c>
      <c r="C31" s="27">
        <v>16800</v>
      </c>
      <c r="D31" s="27">
        <v>16800</v>
      </c>
      <c r="E31" s="27"/>
    </row>
    <row r="32" spans="1:5">
      <c r="A32" t="s">
        <v>168</v>
      </c>
      <c r="B32" s="2"/>
      <c r="C32" s="27"/>
      <c r="D32" s="27"/>
      <c r="E32" s="27"/>
    </row>
    <row r="33" spans="1:5" ht="15">
      <c r="B33" s="74" t="s">
        <v>169</v>
      </c>
      <c r="C33" s="27"/>
      <c r="D33" s="27"/>
      <c r="E33" s="27"/>
    </row>
    <row r="34" spans="1:5" ht="15" thickBot="1">
      <c r="B34" s="2" t="s">
        <v>9</v>
      </c>
      <c r="C34" s="31">
        <v>8400</v>
      </c>
      <c r="D34" s="31"/>
      <c r="E34" s="27"/>
    </row>
    <row r="35" spans="1:5" ht="15" thickTop="1">
      <c r="B35" s="139" t="s">
        <v>6</v>
      </c>
      <c r="C35" s="27"/>
      <c r="D35" s="27">
        <v>8400</v>
      </c>
      <c r="E35" s="27"/>
    </row>
    <row r="36" spans="1:5" ht="45.75">
      <c r="B36" s="140" t="s">
        <v>170</v>
      </c>
      <c r="C36" s="22">
        <v>8400</v>
      </c>
      <c r="D36" s="22">
        <v>8400</v>
      </c>
      <c r="E36" s="27"/>
    </row>
    <row r="37" spans="1:5" ht="15">
      <c r="A37" t="s">
        <v>171</v>
      </c>
      <c r="B37" s="74"/>
      <c r="C37" s="27"/>
      <c r="D37" s="27"/>
      <c r="E37" s="27"/>
    </row>
    <row r="38" spans="1:5" ht="15">
      <c r="B38" s="74" t="s">
        <v>172</v>
      </c>
      <c r="C38" s="27"/>
      <c r="D38" s="110"/>
      <c r="E38" s="27"/>
    </row>
    <row r="39" spans="1:5" ht="15">
      <c r="B39" s="2" t="s">
        <v>173</v>
      </c>
      <c r="C39" s="27">
        <v>6000</v>
      </c>
      <c r="E39" s="27"/>
    </row>
    <row r="40" spans="1:5" ht="15" thickBot="1">
      <c r="B40" s="2" t="s">
        <v>174</v>
      </c>
      <c r="C40" s="27">
        <v>720</v>
      </c>
      <c r="D40" s="27"/>
      <c r="E40" s="27"/>
    </row>
    <row r="41" spans="1:5" ht="15">
      <c r="B41" s="137" t="s">
        <v>136</v>
      </c>
      <c r="C41" s="31"/>
      <c r="D41" s="31">
        <v>6720</v>
      </c>
      <c r="E41" s="27"/>
    </row>
    <row r="42" spans="1:5" ht="30.75">
      <c r="A42" t="s">
        <v>175</v>
      </c>
      <c r="B42" s="141" t="s">
        <v>176</v>
      </c>
      <c r="C42" s="27">
        <f>C40+C39</f>
        <v>6720</v>
      </c>
      <c r="D42" s="27">
        <v>6720</v>
      </c>
      <c r="E42" s="27"/>
    </row>
    <row r="43" spans="1:5" ht="15">
      <c r="B43" s="74"/>
      <c r="C43" s="27"/>
      <c r="D43" s="27"/>
      <c r="E43" s="27"/>
    </row>
    <row r="44" spans="1:5" ht="15" thickBot="1">
      <c r="B44" s="74" t="s">
        <v>177</v>
      </c>
      <c r="C44" s="27"/>
      <c r="D44" s="27"/>
      <c r="E44" s="27"/>
    </row>
    <row r="45" spans="1:5" ht="15" thickTop="1">
      <c r="B45" s="2" t="s">
        <v>178</v>
      </c>
      <c r="C45" s="27">
        <v>20000</v>
      </c>
      <c r="D45" s="27"/>
      <c r="E45" s="27"/>
    </row>
    <row r="46" spans="1:5" ht="15">
      <c r="B46" s="2" t="s">
        <v>179</v>
      </c>
      <c r="C46" s="31">
        <v>2400</v>
      </c>
      <c r="D46" s="31"/>
      <c r="E46" s="27"/>
    </row>
    <row r="47" spans="1:5" ht="15">
      <c r="B47" s="139" t="s">
        <v>136</v>
      </c>
      <c r="C47" s="27"/>
      <c r="D47" s="27">
        <v>5000</v>
      </c>
      <c r="E47" s="27"/>
    </row>
    <row r="48" spans="1:5" ht="15">
      <c r="B48" s="142" t="s">
        <v>40</v>
      </c>
      <c r="C48" s="27"/>
      <c r="D48" s="27">
        <v>17400</v>
      </c>
      <c r="E48" s="27"/>
    </row>
    <row r="49" spans="1:5" ht="30.75">
      <c r="B49" s="140" t="s">
        <v>180</v>
      </c>
      <c r="C49" s="27">
        <f>C46+C45</f>
        <v>22400</v>
      </c>
      <c r="D49" s="27">
        <f>D48+D47</f>
        <v>22400</v>
      </c>
      <c r="E49" s="27"/>
    </row>
    <row r="50" spans="1:5" ht="15">
      <c r="A50" t="s">
        <v>181</v>
      </c>
      <c r="B50" s="2"/>
      <c r="C50" s="27"/>
      <c r="D50" s="27"/>
      <c r="E50" s="27"/>
    </row>
    <row r="51" spans="1:5" ht="15" thickBot="1">
      <c r="B51" s="74" t="s">
        <v>182</v>
      </c>
      <c r="C51" s="27"/>
      <c r="D51" s="27"/>
      <c r="E51" s="27"/>
    </row>
    <row r="52" spans="1:5" ht="15" thickTop="1">
      <c r="B52" s="2" t="s">
        <v>6</v>
      </c>
      <c r="C52" s="27">
        <v>1500</v>
      </c>
      <c r="D52" s="27"/>
      <c r="E52" s="27"/>
    </row>
    <row r="53" spans="1:5" ht="15" thickBot="1">
      <c r="B53" s="137" t="s">
        <v>137</v>
      </c>
      <c r="C53" s="82"/>
      <c r="D53" s="28">
        <v>1500</v>
      </c>
      <c r="E53" s="28"/>
    </row>
    <row r="54" spans="1:5" ht="15" thickTop="1">
      <c r="B54" s="2" t="s">
        <v>183</v>
      </c>
      <c r="C54" s="82">
        <v>1500</v>
      </c>
      <c r="D54" s="27">
        <v>1500</v>
      </c>
      <c r="E54" s="27"/>
    </row>
    <row r="55" spans="1:5" ht="15">
      <c r="A55" t="s">
        <v>184</v>
      </c>
      <c r="B55" s="2"/>
      <c r="C55" s="31"/>
      <c r="D55" s="31"/>
      <c r="E55" s="27"/>
    </row>
    <row r="56" spans="1:5" ht="15" thickBot="1">
      <c r="B56" s="74" t="s">
        <v>185</v>
      </c>
      <c r="C56" s="82"/>
      <c r="D56" s="27"/>
      <c r="E56" s="27"/>
    </row>
    <row r="57" spans="1:5" ht="15" thickTop="1">
      <c r="B57" s="2" t="s">
        <v>40</v>
      </c>
      <c r="C57" s="82">
        <v>5000</v>
      </c>
      <c r="D57" s="27"/>
      <c r="E57" s="27"/>
    </row>
    <row r="58" spans="1:5" ht="15" thickBot="1">
      <c r="B58" s="137" t="s">
        <v>136</v>
      </c>
      <c r="C58" s="82"/>
      <c r="D58" s="28">
        <v>5000</v>
      </c>
      <c r="E58" s="28"/>
    </row>
    <row r="59" spans="1:5" ht="30.75">
      <c r="B59" s="140" t="s">
        <v>186</v>
      </c>
      <c r="C59" s="83">
        <v>5000</v>
      </c>
      <c r="D59" s="27">
        <v>5000</v>
      </c>
      <c r="E59" s="27"/>
    </row>
    <row r="60" spans="1:5" ht="15">
      <c r="A60" t="s">
        <v>187</v>
      </c>
      <c r="B60" s="2"/>
      <c r="C60" s="31"/>
      <c r="D60" s="31"/>
      <c r="E60" s="27"/>
    </row>
    <row r="61" spans="1:5" ht="15">
      <c r="B61" s="74" t="s">
        <v>188</v>
      </c>
      <c r="C61" s="83"/>
      <c r="D61" s="27"/>
      <c r="E61" s="27"/>
    </row>
    <row r="62" spans="1:5" ht="15">
      <c r="B62" s="2" t="s">
        <v>136</v>
      </c>
      <c r="C62" s="82">
        <v>800</v>
      </c>
      <c r="D62" s="82"/>
      <c r="E62" s="17"/>
    </row>
    <row r="63" spans="1:5" ht="15" thickBot="1">
      <c r="B63" s="143" t="s">
        <v>15</v>
      </c>
      <c r="C63" s="82"/>
      <c r="D63" s="82">
        <v>800</v>
      </c>
      <c r="E63" s="17"/>
    </row>
    <row r="64" spans="1:5" ht="30.75">
      <c r="B64" s="76" t="s">
        <v>189</v>
      </c>
      <c r="C64" s="82">
        <v>800</v>
      </c>
      <c r="D64" s="82">
        <v>800</v>
      </c>
      <c r="E64" s="17"/>
    </row>
    <row r="65" spans="1:10" ht="15">
      <c r="A65" t="s">
        <v>190</v>
      </c>
      <c r="B65" s="75"/>
      <c r="C65" s="31"/>
      <c r="D65" s="31"/>
      <c r="E65" s="17"/>
    </row>
    <row r="66" spans="1:10" ht="15">
      <c r="B66" s="74" t="s">
        <v>191</v>
      </c>
      <c r="C66" s="82"/>
      <c r="D66" s="82"/>
      <c r="E66" s="17"/>
    </row>
    <row r="67" spans="1:10" ht="15" thickBot="1">
      <c r="B67" s="75" t="s">
        <v>113</v>
      </c>
      <c r="C67" s="82">
        <v>2000</v>
      </c>
      <c r="D67" s="82"/>
      <c r="E67" s="17"/>
    </row>
    <row r="68" spans="1:10" ht="15" thickTop="1">
      <c r="B68" s="144" t="s">
        <v>6</v>
      </c>
      <c r="C68" s="82"/>
      <c r="D68" s="82">
        <v>2000</v>
      </c>
      <c r="E68" s="17"/>
    </row>
    <row r="69" spans="1:10" ht="15">
      <c r="B69" s="76" t="s">
        <v>192</v>
      </c>
      <c r="C69" s="31">
        <v>2000</v>
      </c>
      <c r="D69" s="31">
        <v>2000</v>
      </c>
      <c r="E69" s="17"/>
    </row>
    <row r="70" spans="1:10" ht="15">
      <c r="A70" t="s">
        <v>193</v>
      </c>
      <c r="B70" s="74"/>
      <c r="C70" s="78"/>
      <c r="D70" s="78"/>
      <c r="E70" s="17"/>
    </row>
    <row r="71" spans="1:10" ht="15">
      <c r="B71" s="145" t="s">
        <v>194</v>
      </c>
      <c r="C71" s="82"/>
      <c r="D71" s="82"/>
      <c r="E71" s="17"/>
    </row>
    <row r="72" spans="1:10" ht="15" thickBot="1">
      <c r="B72" s="75" t="s">
        <v>6</v>
      </c>
      <c r="C72" s="82">
        <v>11200</v>
      </c>
      <c r="D72" s="82"/>
      <c r="E72" s="17"/>
    </row>
    <row r="73" spans="1:10" ht="15" thickTop="1">
      <c r="B73" s="144" t="s">
        <v>195</v>
      </c>
      <c r="C73" s="82"/>
      <c r="D73" s="82">
        <v>10000</v>
      </c>
      <c r="E73" s="17"/>
    </row>
    <row r="74" spans="1:10" ht="15">
      <c r="B74" s="144" t="s">
        <v>196</v>
      </c>
      <c r="C74" s="31"/>
      <c r="D74" s="31">
        <v>1200</v>
      </c>
      <c r="E74" s="17"/>
    </row>
    <row r="75" spans="1:10" ht="30.75">
      <c r="B75" s="146" t="s">
        <v>197</v>
      </c>
      <c r="C75" s="82">
        <v>11200</v>
      </c>
      <c r="D75" s="82">
        <f>D74+D73</f>
        <v>11200</v>
      </c>
      <c r="E75" s="17"/>
    </row>
    <row r="76" spans="1:10" ht="15">
      <c r="A76" t="s">
        <v>198</v>
      </c>
      <c r="B76" s="75"/>
      <c r="C76" s="82"/>
      <c r="D76" s="82"/>
      <c r="E76" s="17"/>
    </row>
    <row r="77" spans="1:10" ht="15" thickBot="1">
      <c r="B77" s="145" t="s">
        <v>199</v>
      </c>
      <c r="C77" s="78"/>
      <c r="D77" s="82"/>
      <c r="E77" s="17"/>
    </row>
    <row r="78" spans="1:10" ht="15" thickTop="1">
      <c r="B78" s="75" t="s">
        <v>136</v>
      </c>
      <c r="C78" s="82">
        <v>11200</v>
      </c>
      <c r="D78" s="82"/>
      <c r="E78" s="17"/>
    </row>
    <row r="79" spans="1:10" s="84" customFormat="1" ht="15">
      <c r="B79" s="144" t="s">
        <v>6</v>
      </c>
      <c r="C79" s="31"/>
      <c r="D79" s="31">
        <v>11200</v>
      </c>
      <c r="E79" s="17"/>
      <c r="F79" s="92"/>
      <c r="G79" s="92"/>
      <c r="H79" s="92"/>
      <c r="I79" s="92"/>
      <c r="J79" s="85"/>
    </row>
    <row r="80" spans="1:10" s="84" customFormat="1" ht="67.5" customHeight="1">
      <c r="B80" s="147" t="s">
        <v>200</v>
      </c>
      <c r="C80" s="82">
        <v>11200</v>
      </c>
      <c r="D80" s="82">
        <v>11200</v>
      </c>
      <c r="E80" s="17"/>
      <c r="F80" s="93"/>
      <c r="G80" s="92"/>
      <c r="H80" s="94"/>
      <c r="I80" s="92"/>
    </row>
    <row r="81" spans="1:9" s="84" customFormat="1" ht="15">
      <c r="A81" s="84" t="s">
        <v>201</v>
      </c>
      <c r="B81" s="75"/>
      <c r="C81" s="83"/>
      <c r="D81" s="83"/>
      <c r="E81" s="14"/>
      <c r="F81" s="92"/>
      <c r="G81" s="92"/>
      <c r="H81" s="92"/>
      <c r="I81" s="92"/>
    </row>
    <row r="82" spans="1:9" s="84" customFormat="1" ht="15" thickBot="1">
      <c r="B82" s="145" t="s">
        <v>202</v>
      </c>
      <c r="C82" s="83"/>
      <c r="D82" s="83"/>
      <c r="E82" s="14"/>
      <c r="F82" s="92"/>
      <c r="G82" s="92"/>
      <c r="H82" s="92"/>
      <c r="I82" s="92"/>
    </row>
    <row r="83" spans="1:9" ht="15" thickTop="1">
      <c r="B83" s="75" t="s">
        <v>203</v>
      </c>
      <c r="C83" s="83">
        <v>5000</v>
      </c>
      <c r="D83" s="83"/>
      <c r="E83" s="14"/>
    </row>
    <row r="84" spans="1:9" ht="15">
      <c r="B84" s="75" t="s">
        <v>204</v>
      </c>
      <c r="C84" s="31">
        <v>87.5</v>
      </c>
      <c r="D84" s="31"/>
      <c r="E84" s="14"/>
    </row>
    <row r="85" spans="1:9" ht="15">
      <c r="B85" s="139" t="s">
        <v>136</v>
      </c>
      <c r="C85" s="82"/>
      <c r="D85" s="82">
        <v>5087.5</v>
      </c>
      <c r="E85" s="17"/>
    </row>
    <row r="86" spans="1:9" ht="45.75">
      <c r="B86" s="76" t="s">
        <v>205</v>
      </c>
      <c r="C86" s="82">
        <f>C84+C83</f>
        <v>5087.5</v>
      </c>
      <c r="D86" s="82">
        <v>5087.5</v>
      </c>
      <c r="E86" s="17"/>
    </row>
    <row r="87" spans="1:9" ht="15" thickBot="1">
      <c r="B87" s="75"/>
      <c r="C87" s="82"/>
      <c r="D87" s="82"/>
      <c r="E87" s="17"/>
    </row>
    <row r="88" spans="1:9" ht="15" thickTop="1">
      <c r="B88" s="75"/>
      <c r="D88" s="82"/>
      <c r="E88" s="17"/>
    </row>
    <row r="89" spans="1:9" ht="15">
      <c r="B89" s="75"/>
      <c r="C89" s="31"/>
      <c r="D89" s="31"/>
      <c r="E89" s="17"/>
    </row>
    <row r="90" spans="1:9" ht="15">
      <c r="B90" s="74"/>
      <c r="C90" s="82"/>
      <c r="D90" s="82"/>
      <c r="E90" s="17"/>
    </row>
    <row r="91" spans="1:9" ht="15">
      <c r="B91" s="75"/>
      <c r="C91" s="82"/>
      <c r="D91" s="82"/>
      <c r="E91" s="17"/>
    </row>
    <row r="92" spans="1:9" ht="15" thickBot="1">
      <c r="B92" s="75"/>
      <c r="C92" s="82"/>
      <c r="D92" s="82"/>
      <c r="E92" s="17"/>
    </row>
    <row r="93" spans="1:9" ht="15" thickTop="1">
      <c r="B93" s="75"/>
      <c r="C93" s="82"/>
      <c r="D93" s="82"/>
      <c r="E93" s="17"/>
    </row>
    <row r="94" spans="1:9" ht="15">
      <c r="B94" s="75"/>
      <c r="C94" s="31"/>
      <c r="D94" s="31"/>
      <c r="E94" s="17"/>
    </row>
    <row r="95" spans="1:9" ht="15">
      <c r="B95" s="75"/>
      <c r="C95" s="82"/>
      <c r="D95" s="82"/>
      <c r="E95" s="17"/>
    </row>
    <row r="96" spans="1:9" ht="15">
      <c r="B96" s="74"/>
      <c r="C96" s="82"/>
      <c r="D96" s="82"/>
      <c r="E96" s="17"/>
    </row>
    <row r="97" spans="2:5" ht="15">
      <c r="B97" s="75"/>
      <c r="C97" s="82"/>
      <c r="D97" s="82"/>
      <c r="E97" s="17"/>
    </row>
    <row r="98" spans="2:5" ht="15">
      <c r="B98" s="75"/>
      <c r="C98" s="82"/>
      <c r="D98" s="82"/>
      <c r="E98" s="17"/>
    </row>
    <row r="99" spans="2:5" ht="15" thickBot="1">
      <c r="B99" s="75"/>
      <c r="C99" s="82"/>
      <c r="D99" s="82"/>
      <c r="E99" s="17"/>
    </row>
    <row r="100" spans="2:5" ht="15" thickTop="1">
      <c r="B100" s="75"/>
      <c r="C100" s="78"/>
      <c r="D100" s="78"/>
      <c r="E100" s="17"/>
    </row>
    <row r="101" spans="2:5" ht="15">
      <c r="B101" s="75"/>
      <c r="C101" s="31"/>
      <c r="D101" s="31"/>
      <c r="E101" s="17"/>
    </row>
    <row r="102" spans="2:5" ht="15">
      <c r="B102" s="75"/>
      <c r="C102" s="82"/>
      <c r="D102" s="82"/>
      <c r="E102" s="17"/>
    </row>
    <row r="103" spans="2:5" ht="15">
      <c r="B103" s="74"/>
      <c r="C103" s="82"/>
      <c r="D103" s="82"/>
      <c r="E103" s="17"/>
    </row>
    <row r="104" spans="2:5" ht="15">
      <c r="B104" s="75"/>
      <c r="C104" s="82"/>
      <c r="D104" s="82"/>
      <c r="E104" s="17"/>
    </row>
    <row r="105" spans="2:5" ht="15" thickBot="1">
      <c r="B105" s="75"/>
      <c r="C105" s="82"/>
      <c r="D105" s="82"/>
      <c r="E105" s="17"/>
    </row>
    <row r="106" spans="2:5" ht="15" thickTop="1">
      <c r="B106" s="75"/>
      <c r="C106" s="82"/>
      <c r="E106" s="17"/>
    </row>
    <row r="107" spans="2:5" ht="15">
      <c r="B107" s="75"/>
      <c r="C107" s="31"/>
      <c r="D107" s="31"/>
      <c r="E107" s="17"/>
    </row>
    <row r="108" spans="2:5" ht="15">
      <c r="B108" s="74"/>
      <c r="C108" s="82"/>
      <c r="D108" s="82"/>
      <c r="E108" s="17"/>
    </row>
    <row r="109" spans="2:5" ht="15">
      <c r="B109" s="75"/>
      <c r="C109" s="82"/>
      <c r="D109" s="82"/>
      <c r="E109" s="17"/>
    </row>
    <row r="110" spans="2:5" ht="15" thickBot="1">
      <c r="B110" s="75"/>
      <c r="C110" s="82"/>
      <c r="D110" s="82"/>
      <c r="E110" s="17"/>
    </row>
    <row r="111" spans="2:5" ht="15" thickTop="1">
      <c r="B111" s="75"/>
      <c r="C111" s="82"/>
      <c r="E111" s="17"/>
    </row>
    <row r="112" spans="2:5" ht="15">
      <c r="B112" s="75"/>
      <c r="C112" s="31"/>
      <c r="D112" s="31"/>
      <c r="E112" s="17"/>
    </row>
    <row r="113" spans="2:5" ht="15">
      <c r="B113" s="75"/>
      <c r="C113" s="82"/>
      <c r="D113" s="82"/>
      <c r="E113" s="17"/>
    </row>
    <row r="114" spans="2:5" ht="15">
      <c r="B114" s="74"/>
      <c r="C114" s="82"/>
      <c r="D114" s="82"/>
      <c r="E114" s="17"/>
    </row>
    <row r="115" spans="2:5" ht="15">
      <c r="B115" s="75"/>
      <c r="C115" s="82"/>
      <c r="D115" s="82"/>
      <c r="E115" s="17"/>
    </row>
    <row r="116" spans="2:5" ht="15">
      <c r="B116" s="75"/>
      <c r="C116" s="82"/>
      <c r="E116" s="17"/>
    </row>
    <row r="117" spans="2:5" ht="15">
      <c r="B117" s="75"/>
      <c r="C117" s="82"/>
      <c r="E117" s="17"/>
    </row>
    <row r="118" spans="2:5" ht="15" thickBot="1">
      <c r="B118" s="75"/>
      <c r="C118" s="82"/>
      <c r="D118" s="82"/>
      <c r="E118" s="17"/>
    </row>
    <row r="119" spans="2:5" ht="15" thickTop="1">
      <c r="B119" s="75"/>
      <c r="C119" s="82"/>
      <c r="D119" s="82"/>
      <c r="E119" s="17"/>
    </row>
    <row r="120" spans="2:5" ht="15">
      <c r="B120" s="75"/>
      <c r="C120" s="31"/>
      <c r="D120" s="31"/>
      <c r="E120" s="17"/>
    </row>
    <row r="121" spans="2:5" ht="15">
      <c r="B121" s="75"/>
      <c r="C121" s="82"/>
      <c r="D121" s="82"/>
      <c r="E121" s="17"/>
    </row>
    <row r="122" spans="2:5" ht="15">
      <c r="B122" s="74"/>
      <c r="C122" s="82"/>
      <c r="D122" s="82"/>
      <c r="E122" s="17"/>
    </row>
    <row r="123" spans="2:5" ht="15">
      <c r="B123" s="75"/>
      <c r="C123" s="82"/>
      <c r="D123" s="82"/>
      <c r="E123" s="17"/>
    </row>
    <row r="124" spans="2:5" ht="15">
      <c r="B124" s="75"/>
      <c r="C124" s="82"/>
      <c r="D124" s="82"/>
      <c r="E124" s="17"/>
    </row>
    <row r="125" spans="2:5" ht="15">
      <c r="B125" s="75"/>
      <c r="C125" s="82"/>
      <c r="D125" s="82"/>
      <c r="E125" s="17"/>
    </row>
    <row r="126" spans="2:5" ht="15">
      <c r="B126" s="74"/>
      <c r="C126" s="82"/>
      <c r="D126" s="82"/>
      <c r="E126" s="17"/>
    </row>
    <row r="127" spans="2:5" ht="15">
      <c r="B127" s="75"/>
      <c r="C127" s="82"/>
      <c r="D127" s="82"/>
      <c r="E127" s="17"/>
    </row>
    <row r="128" spans="2:5" ht="15">
      <c r="B128" s="75"/>
      <c r="C128" s="82"/>
      <c r="D128" s="82"/>
      <c r="E128" s="17"/>
    </row>
    <row r="129" spans="2:9" ht="15">
      <c r="B129" s="75"/>
      <c r="C129" s="82"/>
      <c r="D129" s="82"/>
      <c r="E129" s="17"/>
    </row>
    <row r="130" spans="2:9" ht="15">
      <c r="B130" s="75"/>
      <c r="C130" s="82"/>
      <c r="D130" s="82"/>
      <c r="E130" s="17"/>
      <c r="F130" s="95"/>
      <c r="I130" s="95"/>
    </row>
    <row r="131" spans="2:9" ht="15">
      <c r="B131" s="75"/>
      <c r="C131" s="82"/>
      <c r="D131" s="82"/>
      <c r="E131" s="17"/>
    </row>
    <row r="132" spans="2:9" ht="15">
      <c r="B132" s="75"/>
      <c r="C132" s="82"/>
      <c r="D132" s="82"/>
      <c r="E132" s="17"/>
    </row>
    <row r="133" spans="2:9" ht="15">
      <c r="B133" s="75"/>
      <c r="C133" s="82"/>
      <c r="D133" s="82"/>
      <c r="E133" s="17"/>
    </row>
    <row r="134" spans="2:9" ht="15">
      <c r="B134" s="75"/>
      <c r="C134" s="82"/>
      <c r="D134" s="82"/>
      <c r="E134" s="17"/>
    </row>
    <row r="135" spans="2:9" ht="15" thickBot="1">
      <c r="B135" s="75"/>
      <c r="C135" s="82"/>
      <c r="D135" s="82"/>
      <c r="E135" s="17"/>
      <c r="G135" s="95"/>
      <c r="H135" s="95"/>
    </row>
    <row r="136" spans="2:9" ht="15" thickTop="1">
      <c r="B136" s="75"/>
      <c r="C136" s="82"/>
      <c r="D136" s="82"/>
      <c r="E136" s="17"/>
      <c r="G136" s="95"/>
    </row>
    <row r="137" spans="2:9" ht="15">
      <c r="B137" s="75"/>
      <c r="C137" s="31"/>
      <c r="D137" s="31"/>
      <c r="E137" s="17"/>
    </row>
    <row r="138" spans="2:9" ht="15">
      <c r="B138" s="74"/>
      <c r="C138" s="82"/>
      <c r="D138" s="82"/>
      <c r="E138" s="17"/>
    </row>
    <row r="139" spans="2:9" ht="15" thickBot="1">
      <c r="B139" s="75"/>
      <c r="C139" s="82"/>
      <c r="D139" s="82"/>
      <c r="E139" s="17"/>
    </row>
    <row r="140" spans="2:9" ht="15" thickTop="1">
      <c r="B140" s="75"/>
      <c r="C140" s="82"/>
      <c r="D140" s="82"/>
      <c r="E140" s="17"/>
    </row>
    <row r="141" spans="2:9" ht="15">
      <c r="B141" s="77"/>
      <c r="C141" s="31"/>
      <c r="D141" s="31"/>
      <c r="E141" s="17"/>
    </row>
    <row r="142" spans="2:9" ht="15">
      <c r="B142" s="74"/>
      <c r="C142" s="82"/>
      <c r="D142" s="82"/>
      <c r="E142" s="17"/>
    </row>
    <row r="143" spans="2:9" ht="15" thickBot="1">
      <c r="C143" s="82"/>
      <c r="D143" s="82"/>
      <c r="E143" s="17"/>
    </row>
    <row r="144" spans="2:9" ht="15" thickTop="1">
      <c r="C144" s="82"/>
      <c r="D144" s="82"/>
      <c r="E144" s="17"/>
    </row>
    <row r="145" spans="3:4" ht="15">
      <c r="C145" s="31"/>
      <c r="D145" s="31"/>
    </row>
    <row r="146" spans="3:4" ht="15"/>
  </sheetData>
  <mergeCells count="2">
    <mergeCell ref="C3:E3"/>
    <mergeCell ref="C4:E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6"/>
  <sheetViews>
    <sheetView topLeftCell="A103" workbookViewId="0">
      <selection activeCell="C78" sqref="C78"/>
    </sheetView>
  </sheetViews>
  <sheetFormatPr defaultColWidth="11.42578125" defaultRowHeight="14.45"/>
  <cols>
    <col min="1" max="1" width="6.140625" customWidth="1"/>
    <col min="2" max="2" width="4" customWidth="1"/>
    <col min="3" max="3" width="51.28515625" bestFit="1" customWidth="1"/>
    <col min="4" max="4" width="4" customWidth="1"/>
    <col min="5" max="5" width="0.7109375" customWidth="1"/>
    <col min="8" max="8" width="0" hidden="1" customWidth="1"/>
    <col min="9" max="9" width="13" style="29" bestFit="1" customWidth="1"/>
  </cols>
  <sheetData>
    <row r="1" spans="1:9">
      <c r="A1" t="s">
        <v>206</v>
      </c>
    </row>
    <row r="2" spans="1:9">
      <c r="A2" s="90" t="s">
        <v>207</v>
      </c>
      <c r="B2" s="90"/>
      <c r="C2" s="90"/>
      <c r="D2" s="90"/>
      <c r="E2" s="90"/>
      <c r="F2" s="90"/>
      <c r="G2" s="90"/>
      <c r="H2" s="90"/>
      <c r="I2" s="97"/>
    </row>
    <row r="3" spans="1:9">
      <c r="A3" s="87"/>
      <c r="B3" s="87"/>
      <c r="C3" s="87"/>
      <c r="D3" s="87"/>
      <c r="E3" s="87"/>
      <c r="F3" s="87"/>
      <c r="G3" s="87"/>
      <c r="H3" s="87"/>
      <c r="I3" s="98"/>
    </row>
    <row r="4" spans="1:9" ht="4.5" customHeight="1">
      <c r="A4" s="87"/>
      <c r="B4" s="87"/>
      <c r="C4" s="87"/>
      <c r="D4" s="87"/>
      <c r="E4" s="87"/>
      <c r="F4" s="87"/>
      <c r="G4" s="87"/>
      <c r="H4" s="87"/>
      <c r="I4" s="98"/>
    </row>
    <row r="5" spans="1:9" ht="15">
      <c r="A5" s="151" t="s">
        <v>208</v>
      </c>
      <c r="B5" s="86" t="s">
        <v>209</v>
      </c>
      <c r="C5" t="s">
        <v>210</v>
      </c>
      <c r="F5" t="s">
        <v>211</v>
      </c>
      <c r="G5" t="s">
        <v>212</v>
      </c>
      <c r="H5" t="s">
        <v>213</v>
      </c>
    </row>
    <row r="6" spans="1:9" ht="15">
      <c r="A6" s="2"/>
      <c r="B6" s="3">
        <v>1</v>
      </c>
      <c r="C6" s="91" t="s">
        <v>164</v>
      </c>
      <c r="D6" s="140" t="s">
        <v>214</v>
      </c>
      <c r="E6" s="3"/>
      <c r="F6" s="2"/>
      <c r="G6" s="3"/>
      <c r="H6" s="3"/>
      <c r="I6" s="99"/>
    </row>
    <row r="7" spans="1:9">
      <c r="A7" s="2"/>
      <c r="B7" s="3">
        <v>1</v>
      </c>
      <c r="C7" s="88" t="s">
        <v>215</v>
      </c>
      <c r="D7" s="2">
        <v>1</v>
      </c>
      <c r="E7" s="89"/>
      <c r="F7" s="152">
        <v>4635.6499999999996</v>
      </c>
      <c r="G7" s="3"/>
      <c r="H7" s="3"/>
      <c r="I7" s="152">
        <v>4635.6499999999996</v>
      </c>
    </row>
    <row r="8" spans="1:9">
      <c r="A8" s="2"/>
      <c r="B8" s="3">
        <v>1</v>
      </c>
      <c r="C8" s="88" t="s">
        <v>215</v>
      </c>
      <c r="D8" s="2">
        <v>2</v>
      </c>
      <c r="E8" s="3"/>
      <c r="F8" s="153">
        <v>8400</v>
      </c>
      <c r="G8" s="89"/>
      <c r="H8" s="89"/>
      <c r="I8" s="99">
        <f>F8+I7</f>
        <v>13035.65</v>
      </c>
    </row>
    <row r="9" spans="1:9">
      <c r="A9" s="2"/>
      <c r="B9" s="3">
        <v>2</v>
      </c>
      <c r="C9" s="88" t="s">
        <v>216</v>
      </c>
      <c r="D9" s="2">
        <v>3</v>
      </c>
      <c r="E9" s="3"/>
      <c r="F9" s="2"/>
      <c r="G9" s="3">
        <v>8400</v>
      </c>
      <c r="H9" s="32"/>
      <c r="I9" s="99">
        <f>I8-G9</f>
        <v>4635.6499999999996</v>
      </c>
    </row>
    <row r="10" spans="1:9">
      <c r="A10" s="2"/>
      <c r="B10" s="3">
        <v>9</v>
      </c>
      <c r="C10" s="88" t="s">
        <v>217</v>
      </c>
      <c r="D10" s="2">
        <v>6</v>
      </c>
      <c r="E10" s="3"/>
      <c r="F10" s="2">
        <v>1500</v>
      </c>
      <c r="H10" s="2"/>
      <c r="I10" s="99">
        <f>I9+F10</f>
        <v>6135.65</v>
      </c>
    </row>
    <row r="11" spans="1:9">
      <c r="A11" s="2"/>
      <c r="B11" s="3">
        <v>16</v>
      </c>
      <c r="C11" s="88" t="s">
        <v>218</v>
      </c>
      <c r="D11" s="2">
        <v>9</v>
      </c>
      <c r="E11" s="3"/>
      <c r="F11" s="2">
        <v>2000</v>
      </c>
      <c r="G11" s="3"/>
      <c r="H11" s="3"/>
      <c r="I11" s="99">
        <f>I10+F11</f>
        <v>8135.65</v>
      </c>
    </row>
    <row r="12" spans="1:9">
      <c r="A12" s="2"/>
      <c r="B12" s="3">
        <v>20</v>
      </c>
      <c r="C12" s="88" t="s">
        <v>215</v>
      </c>
      <c r="D12" s="2">
        <v>10</v>
      </c>
      <c r="E12" s="3"/>
      <c r="F12">
        <v>11200</v>
      </c>
      <c r="G12" s="3"/>
      <c r="H12" s="3"/>
      <c r="I12" s="99">
        <f>I11+F12</f>
        <v>19335.650000000001</v>
      </c>
    </row>
    <row r="13" spans="1:9">
      <c r="A13" s="2"/>
      <c r="B13" s="3">
        <v>21</v>
      </c>
      <c r="C13" s="88" t="s">
        <v>216</v>
      </c>
      <c r="D13" s="2">
        <v>11</v>
      </c>
      <c r="E13" s="3"/>
      <c r="F13" s="2"/>
      <c r="G13" s="3">
        <v>11200</v>
      </c>
      <c r="H13" s="3"/>
      <c r="I13" s="99">
        <f>I12-G13</f>
        <v>8135.6500000000015</v>
      </c>
    </row>
    <row r="14" spans="1:9">
      <c r="A14" s="2"/>
      <c r="B14" s="3"/>
      <c r="C14" s="88"/>
      <c r="D14" s="2"/>
      <c r="E14" s="3"/>
      <c r="F14" s="2"/>
      <c r="G14" s="3"/>
      <c r="H14" s="3"/>
      <c r="I14" s="99"/>
    </row>
    <row r="15" spans="1:9">
      <c r="A15" s="2"/>
      <c r="B15" s="3"/>
      <c r="C15" s="88"/>
      <c r="D15" s="2"/>
      <c r="E15" s="3"/>
      <c r="F15" s="2"/>
      <c r="G15" s="3"/>
      <c r="H15" s="3"/>
      <c r="I15" s="99"/>
    </row>
    <row r="16" spans="1:9" ht="15">
      <c r="A16" s="148" t="s">
        <v>219</v>
      </c>
      <c r="B16" s="3">
        <v>2</v>
      </c>
      <c r="C16" s="88" t="s">
        <v>9</v>
      </c>
      <c r="D16" s="2"/>
      <c r="E16" s="3"/>
      <c r="F16" s="2"/>
      <c r="G16" s="82"/>
      <c r="H16" s="3"/>
      <c r="I16" s="99"/>
    </row>
    <row r="17" spans="1:9">
      <c r="A17" s="2"/>
      <c r="B17">
        <v>1</v>
      </c>
      <c r="C17" t="s">
        <v>215</v>
      </c>
      <c r="D17">
        <v>1</v>
      </c>
      <c r="F17">
        <v>24800</v>
      </c>
      <c r="G17" s="3"/>
      <c r="H17" s="3"/>
      <c r="I17" s="99">
        <f>F17</f>
        <v>24800</v>
      </c>
    </row>
    <row r="18" spans="1:9">
      <c r="A18" s="2"/>
      <c r="B18" s="3">
        <v>2</v>
      </c>
      <c r="C18" s="88" t="s">
        <v>215</v>
      </c>
      <c r="D18" s="2">
        <v>3</v>
      </c>
      <c r="E18" s="3"/>
      <c r="F18" s="2">
        <v>8400</v>
      </c>
      <c r="G18" s="3"/>
      <c r="H18" s="3"/>
      <c r="I18" s="99">
        <f>F18+I17</f>
        <v>33200</v>
      </c>
    </row>
    <row r="19" spans="1:9">
      <c r="A19" s="2"/>
      <c r="B19" s="3">
        <v>4</v>
      </c>
      <c r="C19" s="88" t="s">
        <v>215</v>
      </c>
      <c r="D19" s="2">
        <v>4</v>
      </c>
      <c r="E19" s="3"/>
      <c r="F19" s="2"/>
      <c r="G19" s="3">
        <v>6720</v>
      </c>
      <c r="H19" s="3"/>
      <c r="I19" s="99">
        <f>I18-G19</f>
        <v>26480</v>
      </c>
    </row>
    <row r="20" spans="1:9">
      <c r="A20" s="2"/>
      <c r="B20" s="3">
        <v>6</v>
      </c>
      <c r="C20" s="88" t="s">
        <v>215</v>
      </c>
      <c r="D20" s="2">
        <v>5</v>
      </c>
      <c r="E20" s="3"/>
      <c r="F20" s="2"/>
      <c r="G20" s="3">
        <v>5000</v>
      </c>
      <c r="H20" s="3"/>
      <c r="I20" s="99">
        <f>I19-G20</f>
        <v>21480</v>
      </c>
    </row>
    <row r="21" spans="1:9" ht="15">
      <c r="A21" s="2"/>
      <c r="B21" s="3">
        <v>10</v>
      </c>
      <c r="C21" s="88" t="s">
        <v>220</v>
      </c>
      <c r="D21" s="2">
        <v>7</v>
      </c>
      <c r="E21" s="3"/>
      <c r="F21" s="2"/>
      <c r="G21" s="82">
        <v>5000</v>
      </c>
      <c r="H21" s="3"/>
      <c r="I21" s="99">
        <f>I20-G21</f>
        <v>16480</v>
      </c>
    </row>
    <row r="22" spans="1:9">
      <c r="A22" s="96"/>
      <c r="B22" s="3">
        <v>15</v>
      </c>
      <c r="C22" s="91" t="s">
        <v>221</v>
      </c>
      <c r="D22" s="2">
        <v>8</v>
      </c>
      <c r="E22" s="3"/>
      <c r="F22" s="2">
        <v>800</v>
      </c>
      <c r="G22" s="3"/>
      <c r="H22" s="3"/>
      <c r="I22" s="99">
        <f>I21+F22</f>
        <v>17280</v>
      </c>
    </row>
    <row r="23" spans="1:9">
      <c r="A23" s="2"/>
      <c r="B23" s="3">
        <v>21</v>
      </c>
      <c r="C23" s="88" t="s">
        <v>222</v>
      </c>
      <c r="D23" s="2">
        <v>11</v>
      </c>
      <c r="E23" s="3"/>
      <c r="F23" s="2">
        <v>11200</v>
      </c>
      <c r="G23" s="3"/>
      <c r="H23" s="3"/>
      <c r="I23" s="99">
        <f>I22+F23</f>
        <v>28480</v>
      </c>
    </row>
    <row r="24" spans="1:9">
      <c r="A24" s="2"/>
      <c r="B24" s="3">
        <v>30</v>
      </c>
      <c r="C24" s="88" t="s">
        <v>215</v>
      </c>
      <c r="D24" s="2">
        <v>12</v>
      </c>
      <c r="E24" s="3"/>
      <c r="F24" s="2"/>
      <c r="G24" s="3">
        <v>5087.5</v>
      </c>
      <c r="H24" s="3"/>
      <c r="I24" s="99">
        <f>I23-G24</f>
        <v>23392.5</v>
      </c>
    </row>
    <row r="25" spans="1:9">
      <c r="A25" s="2"/>
      <c r="B25" s="3"/>
      <c r="C25" s="88"/>
      <c r="D25" s="2"/>
      <c r="E25" s="3"/>
      <c r="F25" s="2"/>
      <c r="G25" s="3"/>
      <c r="H25" s="3"/>
      <c r="I25" s="99"/>
    </row>
    <row r="26" spans="1:9">
      <c r="A26" s="2"/>
      <c r="B26" s="3"/>
      <c r="C26" s="88"/>
      <c r="D26" s="2"/>
      <c r="E26" s="3"/>
      <c r="F26" s="2"/>
      <c r="G26" s="3"/>
      <c r="H26" s="3"/>
      <c r="I26" s="99"/>
    </row>
    <row r="27" spans="1:9" ht="15">
      <c r="A27" s="148" t="s">
        <v>223</v>
      </c>
      <c r="B27" s="3">
        <v>3</v>
      </c>
      <c r="C27" s="88" t="s">
        <v>12</v>
      </c>
      <c r="D27" s="2"/>
      <c r="E27" s="3"/>
      <c r="F27" s="2"/>
      <c r="G27" s="3"/>
      <c r="H27" s="3"/>
      <c r="I27" s="99"/>
    </row>
    <row r="28" spans="1:9">
      <c r="A28" s="2"/>
      <c r="B28" s="3">
        <v>1</v>
      </c>
      <c r="C28" s="88" t="s">
        <v>215</v>
      </c>
      <c r="D28" s="2">
        <v>1</v>
      </c>
      <c r="E28" s="3"/>
      <c r="F28" s="2">
        <v>7700</v>
      </c>
      <c r="G28" s="3"/>
      <c r="H28" s="3"/>
      <c r="I28" s="99">
        <f>F28</f>
        <v>7700</v>
      </c>
    </row>
    <row r="29" spans="1:9">
      <c r="A29" s="2"/>
      <c r="B29" s="3">
        <v>1</v>
      </c>
      <c r="C29" s="88" t="s">
        <v>215</v>
      </c>
      <c r="D29" s="2">
        <v>2</v>
      </c>
      <c r="E29" s="3"/>
      <c r="F29" s="2">
        <v>8400</v>
      </c>
      <c r="G29" s="3"/>
      <c r="H29" s="3"/>
      <c r="I29" s="99">
        <f>I28+F29</f>
        <v>16100</v>
      </c>
    </row>
    <row r="30" spans="1:9">
      <c r="A30" s="2"/>
      <c r="B30" s="3">
        <v>9</v>
      </c>
      <c r="C30" s="88" t="s">
        <v>222</v>
      </c>
      <c r="D30" s="2">
        <v>6</v>
      </c>
      <c r="E30" s="3"/>
      <c r="F30" s="2"/>
      <c r="G30" s="3">
        <v>1500</v>
      </c>
      <c r="H30" s="3"/>
      <c r="I30" s="99">
        <f>I29-G30</f>
        <v>14600</v>
      </c>
    </row>
    <row r="31" spans="1:9">
      <c r="A31" s="2"/>
      <c r="B31" s="3"/>
      <c r="C31" s="88"/>
      <c r="D31" s="2"/>
      <c r="E31" s="3"/>
      <c r="F31" s="2"/>
      <c r="G31" s="3"/>
      <c r="H31" s="3"/>
      <c r="I31" s="99"/>
    </row>
    <row r="32" spans="1:9">
      <c r="A32" s="2"/>
      <c r="B32" s="3"/>
      <c r="C32" s="88"/>
      <c r="D32" s="2"/>
      <c r="E32" s="3"/>
      <c r="F32" s="2"/>
      <c r="G32" s="3"/>
      <c r="H32" s="3"/>
      <c r="I32" s="99"/>
    </row>
    <row r="33" spans="1:9" ht="15">
      <c r="A33" s="148" t="s">
        <v>224</v>
      </c>
      <c r="B33" s="3">
        <v>4</v>
      </c>
      <c r="C33" s="3" t="s">
        <v>15</v>
      </c>
      <c r="D33" s="2"/>
      <c r="E33" s="3"/>
      <c r="F33" s="2"/>
      <c r="G33" s="3"/>
      <c r="H33" s="3"/>
      <c r="I33" s="99"/>
    </row>
    <row r="34" spans="1:9">
      <c r="A34" s="96"/>
      <c r="B34" s="3">
        <v>1</v>
      </c>
      <c r="C34" s="91" t="s">
        <v>215</v>
      </c>
      <c r="D34" s="2">
        <v>1</v>
      </c>
      <c r="E34" s="3"/>
      <c r="F34" s="2">
        <v>3600</v>
      </c>
      <c r="G34" s="3"/>
      <c r="H34" s="3"/>
      <c r="I34" s="99">
        <f>F34</f>
        <v>3600</v>
      </c>
    </row>
    <row r="35" spans="1:9">
      <c r="A35" s="2"/>
      <c r="B35">
        <v>15</v>
      </c>
      <c r="C35" s="88" t="s">
        <v>216</v>
      </c>
      <c r="D35" s="2">
        <v>8</v>
      </c>
      <c r="E35" s="3"/>
      <c r="F35" s="2"/>
      <c r="G35" s="3">
        <v>800</v>
      </c>
      <c r="H35" s="3"/>
      <c r="I35" s="99">
        <f>I34-G35</f>
        <v>2800</v>
      </c>
    </row>
    <row r="36" spans="1:9">
      <c r="A36" s="2"/>
      <c r="B36" s="3"/>
      <c r="C36" s="88"/>
      <c r="D36" s="2"/>
      <c r="E36" s="3"/>
      <c r="F36" s="3"/>
      <c r="G36" s="3"/>
      <c r="H36" s="3"/>
      <c r="I36" s="99"/>
    </row>
    <row r="37" spans="1:9">
      <c r="A37" s="2"/>
      <c r="B37" s="3"/>
      <c r="C37" s="88"/>
      <c r="D37" s="2"/>
      <c r="E37" s="3"/>
      <c r="F37" s="3"/>
      <c r="G37" s="3"/>
      <c r="H37" s="3"/>
      <c r="I37" s="99"/>
    </row>
    <row r="38" spans="1:9" ht="15">
      <c r="A38" s="148" t="s">
        <v>225</v>
      </c>
      <c r="B38" s="3">
        <v>5</v>
      </c>
      <c r="C38" s="3" t="s">
        <v>158</v>
      </c>
      <c r="D38" s="2"/>
      <c r="E38" s="3"/>
      <c r="F38" s="3"/>
      <c r="G38" s="3"/>
      <c r="H38" s="3"/>
      <c r="I38" s="99"/>
    </row>
    <row r="39" spans="1:9">
      <c r="A39" s="2"/>
      <c r="B39" s="3">
        <v>1</v>
      </c>
      <c r="C39" s="88" t="s">
        <v>215</v>
      </c>
      <c r="D39" s="2">
        <v>1</v>
      </c>
      <c r="E39" s="3"/>
      <c r="F39" s="3">
        <v>38798.22</v>
      </c>
      <c r="G39" s="82"/>
      <c r="H39" s="3"/>
      <c r="I39" s="99">
        <f>38798.22</f>
        <v>38798.22</v>
      </c>
    </row>
    <row r="40" spans="1:9">
      <c r="A40" s="2"/>
      <c r="B40" s="3">
        <v>4</v>
      </c>
      <c r="C40" s="88" t="s">
        <v>215</v>
      </c>
      <c r="D40" s="2">
        <v>4</v>
      </c>
      <c r="E40" s="3"/>
      <c r="F40" s="3">
        <v>720</v>
      </c>
      <c r="G40" s="3"/>
      <c r="H40" s="3"/>
      <c r="I40" s="99">
        <f>I39+F40</f>
        <v>39518.22</v>
      </c>
    </row>
    <row r="41" spans="1:9">
      <c r="A41" s="2"/>
      <c r="B41" s="3">
        <v>6</v>
      </c>
      <c r="C41" s="88" t="s">
        <v>215</v>
      </c>
      <c r="D41" s="2">
        <v>5</v>
      </c>
      <c r="E41" s="3"/>
      <c r="F41" s="3">
        <v>24000</v>
      </c>
      <c r="G41" s="3"/>
      <c r="H41" s="3"/>
      <c r="I41" s="99">
        <f>I40+F41</f>
        <v>63518.22</v>
      </c>
    </row>
    <row r="42" spans="1:9">
      <c r="A42" s="2"/>
      <c r="B42" s="3">
        <v>20</v>
      </c>
      <c r="C42" s="88" t="s">
        <v>215</v>
      </c>
      <c r="D42" s="2">
        <v>10</v>
      </c>
      <c r="E42" s="3"/>
      <c r="F42" s="3"/>
      <c r="G42" s="3">
        <v>1200</v>
      </c>
      <c r="H42" s="3"/>
      <c r="I42" s="99">
        <f>I41-G42</f>
        <v>62318.22</v>
      </c>
    </row>
    <row r="43" spans="1:9">
      <c r="A43" s="2"/>
      <c r="B43" s="3"/>
      <c r="C43" s="88"/>
      <c r="D43" s="2"/>
      <c r="E43" s="3"/>
      <c r="F43" s="3"/>
      <c r="H43" s="3"/>
      <c r="I43" s="99"/>
    </row>
    <row r="44" spans="1:9">
      <c r="A44" s="2"/>
      <c r="B44" s="3"/>
      <c r="C44" s="88"/>
      <c r="D44" s="2"/>
      <c r="E44" s="3"/>
      <c r="F44" s="2"/>
      <c r="G44" s="3"/>
      <c r="H44" s="3"/>
      <c r="I44" s="99"/>
    </row>
    <row r="45" spans="1:9" ht="15">
      <c r="A45" s="148" t="s">
        <v>226</v>
      </c>
      <c r="B45" s="3">
        <v>6</v>
      </c>
      <c r="C45" s="88" t="s">
        <v>138</v>
      </c>
      <c r="D45" s="2"/>
      <c r="E45" s="3"/>
      <c r="F45" s="2"/>
      <c r="G45" s="82"/>
      <c r="H45" s="3"/>
      <c r="I45" s="99"/>
    </row>
    <row r="46" spans="1:9">
      <c r="A46" s="2"/>
      <c r="B46" s="3">
        <v>1</v>
      </c>
      <c r="C46" s="88" t="s">
        <v>215</v>
      </c>
      <c r="D46" s="2">
        <v>1</v>
      </c>
      <c r="E46" s="3"/>
      <c r="F46" s="2">
        <v>192498.97</v>
      </c>
      <c r="G46" s="3"/>
      <c r="H46" s="3"/>
      <c r="I46" s="99">
        <f>192498.97</f>
        <v>192498.97</v>
      </c>
    </row>
    <row r="47" spans="1:9">
      <c r="A47" s="2"/>
      <c r="B47" s="3"/>
      <c r="C47" s="88"/>
      <c r="D47" s="2"/>
      <c r="E47" s="3"/>
      <c r="F47" s="2"/>
      <c r="G47" s="3"/>
      <c r="H47" s="3"/>
      <c r="I47" s="99"/>
    </row>
    <row r="48" spans="1:9">
      <c r="A48" s="96"/>
      <c r="B48" s="3"/>
      <c r="C48" s="91"/>
      <c r="D48" s="2"/>
      <c r="E48" s="3"/>
      <c r="F48" s="2"/>
      <c r="G48" s="3"/>
      <c r="H48" s="3"/>
      <c r="I48" s="99"/>
    </row>
    <row r="49" spans="1:9" ht="15">
      <c r="A49" s="148" t="s">
        <v>227</v>
      </c>
      <c r="B49" s="3">
        <v>7</v>
      </c>
      <c r="C49" s="3" t="s">
        <v>78</v>
      </c>
      <c r="D49" s="2"/>
      <c r="E49" s="3"/>
      <c r="F49" s="2"/>
      <c r="G49" s="3"/>
      <c r="H49" s="3"/>
      <c r="I49" s="99"/>
    </row>
    <row r="50" spans="1:9">
      <c r="A50" s="2"/>
      <c r="B50" s="3">
        <v>1</v>
      </c>
      <c r="C50" s="88" t="s">
        <v>215</v>
      </c>
      <c r="D50" s="2">
        <v>1</v>
      </c>
      <c r="E50" s="3"/>
      <c r="F50" s="2">
        <v>5000</v>
      </c>
      <c r="G50" s="3"/>
      <c r="H50" s="3"/>
      <c r="I50" s="99">
        <f>5000</f>
        <v>5000</v>
      </c>
    </row>
    <row r="51" spans="1:9">
      <c r="A51" s="96"/>
      <c r="B51" s="3"/>
      <c r="C51" s="88"/>
      <c r="D51" s="2"/>
      <c r="E51" s="3"/>
      <c r="F51" s="2"/>
      <c r="G51" s="3"/>
      <c r="H51" s="3"/>
      <c r="I51" s="99"/>
    </row>
    <row r="52" spans="1:9">
      <c r="A52" s="2"/>
      <c r="B52" s="3"/>
      <c r="C52" s="88"/>
      <c r="D52" s="2"/>
      <c r="E52" s="3"/>
      <c r="F52" s="2"/>
      <c r="G52" s="3"/>
      <c r="H52" s="3"/>
      <c r="I52" s="99"/>
    </row>
    <row r="53" spans="1:9" ht="15">
      <c r="A53" s="148" t="s">
        <v>228</v>
      </c>
      <c r="B53" s="3">
        <v>8</v>
      </c>
      <c r="C53" s="3" t="s">
        <v>80</v>
      </c>
      <c r="D53" s="2"/>
      <c r="E53" s="3"/>
      <c r="F53" s="2"/>
      <c r="G53" s="3"/>
      <c r="H53" s="3"/>
      <c r="I53" s="99"/>
    </row>
    <row r="54" spans="1:9">
      <c r="A54" s="32"/>
      <c r="B54" s="3"/>
      <c r="C54" s="88" t="s">
        <v>215</v>
      </c>
      <c r="D54" s="2">
        <v>1</v>
      </c>
      <c r="E54" s="3"/>
      <c r="F54" s="2">
        <v>3571.44</v>
      </c>
      <c r="G54" s="3"/>
      <c r="H54" s="3"/>
      <c r="I54" s="99">
        <f>3571.44</f>
        <v>3571.44</v>
      </c>
    </row>
    <row r="55" spans="1:9">
      <c r="A55" s="96"/>
      <c r="B55" s="3"/>
      <c r="C55" s="91"/>
      <c r="D55" s="2"/>
      <c r="E55" s="3"/>
      <c r="F55" s="2"/>
      <c r="G55" s="3"/>
      <c r="H55" s="3"/>
      <c r="I55" s="99"/>
    </row>
    <row r="56" spans="1:9" ht="15">
      <c r="A56" s="148" t="s">
        <v>229</v>
      </c>
      <c r="B56" s="3">
        <v>9</v>
      </c>
      <c r="C56" s="72" t="s">
        <v>26</v>
      </c>
      <c r="D56" s="2"/>
      <c r="E56" s="3"/>
      <c r="F56" s="2"/>
      <c r="G56" s="3"/>
      <c r="H56" s="3"/>
      <c r="I56" s="99"/>
    </row>
    <row r="57" spans="1:9">
      <c r="A57" s="2"/>
      <c r="B57" s="3">
        <v>1</v>
      </c>
      <c r="C57" s="88" t="s">
        <v>215</v>
      </c>
      <c r="D57" s="2">
        <v>1</v>
      </c>
      <c r="E57" s="3"/>
      <c r="F57" s="2">
        <v>12748.14</v>
      </c>
      <c r="G57" s="3"/>
      <c r="H57" s="3"/>
      <c r="I57" s="99">
        <v>12748.14</v>
      </c>
    </row>
    <row r="58" spans="1:9">
      <c r="A58" s="96"/>
      <c r="B58" s="3"/>
      <c r="C58" s="91"/>
      <c r="D58" s="2"/>
      <c r="E58" s="3"/>
      <c r="F58" s="2"/>
      <c r="G58" s="3"/>
      <c r="H58" s="3"/>
      <c r="I58" s="99"/>
    </row>
    <row r="59" spans="1:9">
      <c r="A59" s="2"/>
      <c r="B59" s="3"/>
      <c r="C59" s="88"/>
      <c r="D59" s="2"/>
      <c r="E59" s="3"/>
      <c r="F59" s="2"/>
      <c r="G59" s="3"/>
      <c r="H59" s="3"/>
      <c r="I59" s="99"/>
    </row>
    <row r="60" spans="1:9" ht="15">
      <c r="A60" s="150" t="s">
        <v>230</v>
      </c>
      <c r="B60" s="3">
        <v>10</v>
      </c>
      <c r="C60" s="88" t="s">
        <v>142</v>
      </c>
      <c r="D60" s="2"/>
      <c r="E60" s="3"/>
      <c r="F60" s="2"/>
      <c r="G60" s="3"/>
      <c r="H60" s="3"/>
      <c r="I60" s="99"/>
    </row>
    <row r="61" spans="1:9">
      <c r="A61" s="96"/>
      <c r="B61" s="3">
        <v>1</v>
      </c>
      <c r="C61" s="91" t="s">
        <v>215</v>
      </c>
      <c r="D61" s="2">
        <v>1</v>
      </c>
      <c r="E61" s="3"/>
      <c r="F61" s="2">
        <v>114285.7</v>
      </c>
      <c r="G61" s="3"/>
      <c r="H61" s="3"/>
      <c r="I61" s="99">
        <v>114285.7</v>
      </c>
    </row>
    <row r="62" spans="1:9">
      <c r="A62" s="2"/>
      <c r="B62" s="3"/>
      <c r="C62" s="88"/>
      <c r="D62" s="2"/>
      <c r="E62" s="3"/>
      <c r="F62" s="2"/>
      <c r="G62" s="3"/>
      <c r="H62" s="3"/>
      <c r="I62" s="99"/>
    </row>
    <row r="63" spans="1:9">
      <c r="A63" s="32"/>
      <c r="B63" s="3"/>
      <c r="C63" s="88"/>
      <c r="D63" s="2"/>
      <c r="E63" s="3"/>
      <c r="F63" s="2"/>
      <c r="G63" s="3"/>
      <c r="H63" s="3"/>
      <c r="I63" s="99"/>
    </row>
    <row r="64" spans="1:9" ht="15">
      <c r="A64" s="151" t="s">
        <v>231</v>
      </c>
      <c r="B64" s="3">
        <v>11</v>
      </c>
      <c r="C64" s="91" t="s">
        <v>159</v>
      </c>
      <c r="D64" s="2"/>
      <c r="E64" s="3"/>
      <c r="F64" s="32"/>
      <c r="G64" s="3"/>
      <c r="H64" s="2"/>
      <c r="I64" s="99"/>
    </row>
    <row r="65" spans="1:9">
      <c r="A65" s="2"/>
      <c r="B65" s="3">
        <v>1</v>
      </c>
      <c r="C65" s="88" t="s">
        <v>215</v>
      </c>
      <c r="D65" s="2">
        <v>1</v>
      </c>
      <c r="E65" s="3"/>
      <c r="F65">
        <v>252000</v>
      </c>
      <c r="G65" s="3"/>
      <c r="H65" s="2"/>
      <c r="I65" s="99">
        <v>252000</v>
      </c>
    </row>
    <row r="66" spans="1:9">
      <c r="A66" s="2"/>
      <c r="B66" s="3"/>
      <c r="C66" s="88"/>
      <c r="D66" s="2"/>
      <c r="E66" s="3"/>
      <c r="F66" s="32"/>
      <c r="G66" s="3"/>
      <c r="H66" s="2"/>
      <c r="I66" s="99"/>
    </row>
    <row r="67" spans="1:9">
      <c r="A67" s="2"/>
      <c r="B67" s="3"/>
      <c r="C67" s="88"/>
      <c r="D67" s="2"/>
      <c r="E67" s="3"/>
      <c r="F67" s="32"/>
      <c r="G67" s="3"/>
      <c r="H67" s="2"/>
      <c r="I67" s="99"/>
    </row>
    <row r="68" spans="1:9" ht="15">
      <c r="A68" s="148" t="s">
        <v>232</v>
      </c>
      <c r="B68" s="3">
        <v>12</v>
      </c>
      <c r="C68" s="88" t="s">
        <v>98</v>
      </c>
      <c r="D68" s="2"/>
      <c r="E68" s="3"/>
      <c r="F68" s="3"/>
      <c r="H68" s="2"/>
      <c r="I68" s="99"/>
    </row>
    <row r="69" spans="1:9">
      <c r="A69" s="2"/>
      <c r="B69" s="3">
        <v>1</v>
      </c>
      <c r="C69" s="88" t="s">
        <v>215</v>
      </c>
      <c r="D69" s="2">
        <v>1</v>
      </c>
      <c r="E69" s="3"/>
      <c r="F69" s="32">
        <v>2168.2600000000002</v>
      </c>
      <c r="G69" s="3"/>
      <c r="H69" s="2"/>
      <c r="I69" s="99">
        <v>2168.2600000000002</v>
      </c>
    </row>
    <row r="70" spans="1:9">
      <c r="A70" s="2"/>
      <c r="B70" s="3"/>
      <c r="C70" s="88"/>
      <c r="D70" s="2"/>
      <c r="E70" s="3"/>
      <c r="F70" s="2"/>
      <c r="G70" s="3"/>
      <c r="H70" s="3"/>
      <c r="I70" s="99"/>
    </row>
    <row r="71" spans="1:9" ht="15">
      <c r="A71" s="151" t="s">
        <v>233</v>
      </c>
      <c r="B71" s="3">
        <v>13</v>
      </c>
      <c r="C71" s="73" t="s">
        <v>40</v>
      </c>
      <c r="D71" s="2"/>
      <c r="E71" s="3"/>
      <c r="F71" s="2"/>
      <c r="G71" s="3"/>
      <c r="H71" s="3"/>
      <c r="I71" s="99"/>
    </row>
    <row r="72" spans="1:9">
      <c r="A72" s="2"/>
      <c r="B72" s="3">
        <v>1</v>
      </c>
      <c r="C72" s="88" t="s">
        <v>215</v>
      </c>
      <c r="D72" s="2">
        <v>1</v>
      </c>
      <c r="E72" s="3"/>
      <c r="F72" s="2"/>
      <c r="G72" s="3">
        <v>37000</v>
      </c>
      <c r="H72" s="3"/>
      <c r="I72" s="99">
        <v>37000</v>
      </c>
    </row>
    <row r="73" spans="1:9">
      <c r="A73" s="2"/>
      <c r="B73" s="3">
        <v>6</v>
      </c>
      <c r="C73" s="88" t="s">
        <v>215</v>
      </c>
      <c r="D73" s="2">
        <v>5</v>
      </c>
      <c r="E73" s="3"/>
      <c r="F73" s="2"/>
      <c r="G73" s="3">
        <v>17400</v>
      </c>
      <c r="H73" s="3"/>
      <c r="I73" s="99">
        <f>G73+I72</f>
        <v>54400</v>
      </c>
    </row>
    <row r="74" spans="1:9">
      <c r="A74" s="2"/>
      <c r="B74" s="3">
        <v>10</v>
      </c>
      <c r="C74" s="88" t="s">
        <v>216</v>
      </c>
      <c r="D74" s="2">
        <v>7</v>
      </c>
      <c r="E74" s="3"/>
      <c r="F74" s="2">
        <v>5000</v>
      </c>
      <c r="G74" s="3"/>
      <c r="H74" s="3"/>
      <c r="I74" s="99">
        <f>I73-5000</f>
        <v>49400</v>
      </c>
    </row>
    <row r="75" spans="1:9">
      <c r="A75" s="96"/>
      <c r="B75" s="3"/>
      <c r="C75" s="91"/>
      <c r="D75" s="2"/>
      <c r="E75" s="3"/>
      <c r="F75" s="2"/>
      <c r="H75" s="3"/>
      <c r="I75" s="99"/>
    </row>
    <row r="76" spans="1:9">
      <c r="A76" s="2"/>
      <c r="B76" s="3"/>
      <c r="C76" s="88"/>
      <c r="D76" s="2"/>
      <c r="E76" s="3"/>
      <c r="F76" s="2"/>
      <c r="G76" s="57"/>
      <c r="H76" s="3"/>
      <c r="I76" s="99"/>
    </row>
    <row r="77" spans="1:9" ht="15">
      <c r="A77" s="149" t="s">
        <v>234</v>
      </c>
      <c r="B77" s="3">
        <v>14</v>
      </c>
      <c r="C77" s="73" t="s">
        <v>146</v>
      </c>
      <c r="D77" s="2"/>
      <c r="E77" s="3"/>
      <c r="F77" s="2"/>
      <c r="G77" s="3"/>
      <c r="H77" s="3"/>
      <c r="I77" s="99"/>
    </row>
    <row r="78" spans="1:9">
      <c r="A78" s="96"/>
      <c r="B78" s="3">
        <v>1</v>
      </c>
      <c r="C78" s="91" t="s">
        <v>215</v>
      </c>
      <c r="D78" s="2">
        <v>1</v>
      </c>
      <c r="E78" s="3"/>
      <c r="F78" s="2"/>
      <c r="G78">
        <v>4000</v>
      </c>
      <c r="H78" s="3"/>
      <c r="I78" s="99">
        <v>4000</v>
      </c>
    </row>
    <row r="79" spans="1:9">
      <c r="A79" s="2"/>
      <c r="B79" s="3"/>
      <c r="C79" s="88"/>
      <c r="D79" s="2"/>
      <c r="E79" s="3"/>
      <c r="F79" s="2"/>
      <c r="G79" s="57"/>
      <c r="H79" s="3"/>
      <c r="I79" s="99"/>
    </row>
    <row r="80" spans="1:9" ht="15">
      <c r="A80" s="150" t="s">
        <v>235</v>
      </c>
      <c r="B80" s="3">
        <v>15</v>
      </c>
      <c r="C80" s="88" t="s">
        <v>43</v>
      </c>
      <c r="D80" s="2"/>
      <c r="E80" s="3"/>
      <c r="F80" s="2"/>
      <c r="G80" s="100"/>
      <c r="H80" s="3"/>
      <c r="I80" s="99"/>
    </row>
    <row r="81" spans="1:9">
      <c r="A81" s="96"/>
      <c r="B81" s="3">
        <v>1</v>
      </c>
      <c r="C81" s="91" t="s">
        <v>215</v>
      </c>
      <c r="D81" s="2">
        <v>1</v>
      </c>
      <c r="E81" s="3"/>
      <c r="F81" s="2"/>
      <c r="G81" s="3">
        <v>20000</v>
      </c>
      <c r="H81" s="3"/>
      <c r="I81" s="99">
        <v>20000</v>
      </c>
    </row>
    <row r="82" spans="1:9">
      <c r="A82" s="2"/>
      <c r="B82" s="3">
        <v>16</v>
      </c>
      <c r="C82" s="88" t="s">
        <v>222</v>
      </c>
      <c r="D82" s="2">
        <v>9</v>
      </c>
      <c r="E82" s="3"/>
      <c r="F82" s="2">
        <v>20000</v>
      </c>
      <c r="G82" s="3"/>
      <c r="H82" s="3"/>
      <c r="I82" s="99">
        <v>0</v>
      </c>
    </row>
    <row r="83" spans="1:9">
      <c r="A83" s="96"/>
      <c r="B83" s="3"/>
      <c r="C83" s="91"/>
      <c r="D83" s="2"/>
      <c r="E83" s="3"/>
      <c r="F83" s="2"/>
      <c r="G83" s="3"/>
      <c r="H83" s="3"/>
      <c r="I83" s="99"/>
    </row>
    <row r="84" spans="1:9">
      <c r="A84" s="2"/>
      <c r="B84" s="3"/>
      <c r="C84" s="88"/>
      <c r="D84" s="2"/>
      <c r="E84" s="3"/>
      <c r="G84" s="57"/>
      <c r="H84" s="3"/>
      <c r="I84" s="99"/>
    </row>
    <row r="85" spans="1:9" ht="15">
      <c r="A85" s="148" t="s">
        <v>236</v>
      </c>
      <c r="B85" s="3">
        <v>16</v>
      </c>
      <c r="C85" s="88" t="s">
        <v>160</v>
      </c>
      <c r="D85" s="2"/>
      <c r="E85" s="3"/>
      <c r="F85" s="2"/>
      <c r="G85" s="3"/>
      <c r="H85" s="3"/>
      <c r="I85" s="99"/>
    </row>
    <row r="86" spans="1:9">
      <c r="A86" s="2"/>
      <c r="B86" s="3">
        <v>1</v>
      </c>
      <c r="C86" s="88" t="s">
        <v>215</v>
      </c>
      <c r="D86" s="2">
        <v>1</v>
      </c>
      <c r="E86" s="3"/>
      <c r="F86" s="2"/>
      <c r="G86" s="3">
        <v>100000</v>
      </c>
      <c r="H86" s="3"/>
      <c r="I86" s="99">
        <v>100000</v>
      </c>
    </row>
    <row r="87" spans="1:9">
      <c r="A87" s="96"/>
      <c r="B87" s="3"/>
      <c r="C87" s="91"/>
      <c r="D87" s="2"/>
      <c r="E87" s="3"/>
      <c r="F87" s="2"/>
      <c r="G87" s="3"/>
      <c r="H87" s="3"/>
      <c r="I87" s="99"/>
    </row>
    <row r="88" spans="1:9">
      <c r="A88" s="2"/>
      <c r="B88" s="3"/>
      <c r="C88" s="88"/>
      <c r="D88" s="2"/>
      <c r="E88" s="3"/>
      <c r="G88" s="2"/>
      <c r="H88" s="3"/>
      <c r="I88" s="99"/>
    </row>
    <row r="89" spans="1:9" ht="15">
      <c r="A89" s="149" t="s">
        <v>237</v>
      </c>
      <c r="B89" s="3">
        <v>17</v>
      </c>
      <c r="C89" s="88" t="s">
        <v>49</v>
      </c>
      <c r="D89" s="2"/>
      <c r="E89" s="3"/>
      <c r="F89" s="2"/>
      <c r="G89" s="3"/>
      <c r="H89" s="3"/>
      <c r="I89" s="99"/>
    </row>
    <row r="90" spans="1:9">
      <c r="A90" s="2"/>
      <c r="B90" s="3">
        <v>1</v>
      </c>
      <c r="C90" s="88" t="s">
        <v>215</v>
      </c>
      <c r="D90" s="2">
        <v>1</v>
      </c>
      <c r="E90" s="3"/>
      <c r="F90" s="2"/>
      <c r="G90" s="3">
        <v>500806.38</v>
      </c>
      <c r="H90" s="3"/>
      <c r="I90" s="3" t="s">
        <v>238</v>
      </c>
    </row>
    <row r="91" spans="1:9">
      <c r="A91" s="2"/>
      <c r="B91" s="3"/>
      <c r="C91" s="88"/>
      <c r="D91" s="2"/>
      <c r="E91" s="3"/>
      <c r="F91" s="2"/>
      <c r="G91" s="3"/>
      <c r="H91" s="3"/>
      <c r="I91" s="99"/>
    </row>
    <row r="92" spans="1:9">
      <c r="A92" s="2"/>
      <c r="B92" s="3"/>
      <c r="C92" s="88"/>
      <c r="D92" s="2"/>
      <c r="E92" s="3"/>
      <c r="F92" s="2"/>
      <c r="G92" s="3"/>
      <c r="H92" s="3"/>
      <c r="I92" s="99"/>
    </row>
    <row r="93" spans="1:9" ht="15">
      <c r="A93" s="148" t="s">
        <v>239</v>
      </c>
      <c r="B93" s="3">
        <v>18</v>
      </c>
      <c r="C93" s="88" t="s">
        <v>240</v>
      </c>
      <c r="D93" s="2"/>
      <c r="E93" s="3"/>
      <c r="F93" s="2"/>
      <c r="G93" s="3"/>
      <c r="H93" s="3"/>
      <c r="I93" s="99"/>
    </row>
    <row r="94" spans="1:9">
      <c r="A94" s="2"/>
      <c r="B94" s="3">
        <v>1</v>
      </c>
      <c r="C94" s="88" t="s">
        <v>215</v>
      </c>
      <c r="D94" s="2">
        <v>2</v>
      </c>
      <c r="E94" s="3"/>
      <c r="F94" s="2"/>
      <c r="G94" s="3">
        <v>15000</v>
      </c>
      <c r="H94" s="3"/>
      <c r="I94" s="99">
        <v>15000</v>
      </c>
    </row>
    <row r="95" spans="1:9">
      <c r="A95" s="96"/>
      <c r="B95" s="3">
        <v>20</v>
      </c>
      <c r="C95" s="91" t="s">
        <v>215</v>
      </c>
      <c r="D95" s="2">
        <v>10</v>
      </c>
      <c r="E95" s="3"/>
      <c r="F95" s="2"/>
      <c r="G95" s="3">
        <v>10000</v>
      </c>
      <c r="H95" s="3"/>
      <c r="I95" s="99">
        <f>I94+G95</f>
        <v>25000</v>
      </c>
    </row>
    <row r="96" spans="1:9">
      <c r="A96" s="2"/>
      <c r="B96" s="3"/>
      <c r="C96" s="88"/>
      <c r="D96" s="2"/>
      <c r="E96" s="3"/>
      <c r="F96" s="2"/>
      <c r="G96" s="3"/>
      <c r="H96" s="3"/>
      <c r="I96" s="99"/>
    </row>
    <row r="97" spans="1:9">
      <c r="A97" s="2"/>
      <c r="B97" s="3"/>
      <c r="C97" s="88"/>
      <c r="D97" s="2"/>
      <c r="E97" s="3"/>
      <c r="F97" s="2"/>
      <c r="G97" s="3"/>
      <c r="H97" s="3"/>
      <c r="I97" s="99"/>
    </row>
    <row r="98" spans="1:9" ht="15">
      <c r="A98" s="148" t="s">
        <v>241</v>
      </c>
      <c r="B98" s="3">
        <v>19</v>
      </c>
      <c r="C98" s="88" t="s">
        <v>166</v>
      </c>
      <c r="D98" s="2"/>
      <c r="E98" s="3"/>
      <c r="F98" s="2"/>
      <c r="G98" s="3"/>
      <c r="H98" s="3"/>
      <c r="I98" s="99"/>
    </row>
    <row r="99" spans="1:9">
      <c r="A99" s="2"/>
      <c r="B99" s="3">
        <v>1</v>
      </c>
      <c r="C99" s="88" t="s">
        <v>215</v>
      </c>
      <c r="D99" s="2">
        <v>2</v>
      </c>
      <c r="E99" s="3"/>
      <c r="F99" s="2"/>
      <c r="G99" s="3">
        <v>1800</v>
      </c>
      <c r="H99" s="3"/>
      <c r="I99" s="99">
        <v>1800</v>
      </c>
    </row>
    <row r="100" spans="1:9">
      <c r="A100" s="2"/>
      <c r="B100" s="3"/>
      <c r="C100" s="88"/>
      <c r="D100" s="2"/>
      <c r="E100" s="3"/>
      <c r="F100" s="2"/>
      <c r="G100" s="3"/>
      <c r="H100" s="3"/>
      <c r="I100" s="99"/>
    </row>
    <row r="101" spans="1:9">
      <c r="A101" s="96"/>
      <c r="B101" s="3"/>
      <c r="C101" s="91"/>
      <c r="D101" s="2"/>
      <c r="E101" s="3"/>
      <c r="F101" s="2"/>
      <c r="G101" s="3"/>
      <c r="H101" s="3"/>
      <c r="I101" s="99"/>
    </row>
    <row r="102" spans="1:9" ht="15">
      <c r="A102" s="148" t="s">
        <v>242</v>
      </c>
      <c r="B102" s="3">
        <v>20</v>
      </c>
      <c r="C102" s="88" t="s">
        <v>243</v>
      </c>
      <c r="D102" s="2"/>
      <c r="F102" s="3"/>
      <c r="G102" s="3"/>
      <c r="H102" s="3"/>
      <c r="I102" s="99"/>
    </row>
    <row r="103" spans="1:9">
      <c r="A103" s="2"/>
      <c r="B103" s="3">
        <v>4</v>
      </c>
      <c r="C103" s="88" t="s">
        <v>215</v>
      </c>
      <c r="D103" s="2">
        <v>4</v>
      </c>
      <c r="E103" s="3"/>
      <c r="F103" s="2">
        <v>6000</v>
      </c>
      <c r="G103" s="3"/>
      <c r="H103" s="3"/>
      <c r="I103" s="99">
        <v>6000</v>
      </c>
    </row>
    <row r="104" spans="1:9">
      <c r="A104" s="2"/>
      <c r="B104" s="3"/>
      <c r="C104" s="88"/>
      <c r="D104" s="2"/>
      <c r="E104" s="3"/>
      <c r="F104" s="2"/>
      <c r="G104" s="3"/>
      <c r="H104" s="3"/>
      <c r="I104" s="99"/>
    </row>
    <row r="105" spans="1:9">
      <c r="A105" s="96"/>
      <c r="B105" s="3"/>
      <c r="C105" s="91"/>
      <c r="D105" s="2"/>
      <c r="E105" s="3"/>
      <c r="F105" s="2"/>
      <c r="G105" s="3"/>
      <c r="H105" s="3"/>
      <c r="I105" s="99"/>
    </row>
    <row r="106" spans="1:9" ht="15">
      <c r="A106" s="148" t="s">
        <v>244</v>
      </c>
      <c r="B106" s="3">
        <v>21</v>
      </c>
      <c r="C106" s="88" t="s">
        <v>178</v>
      </c>
      <c r="D106" s="2"/>
      <c r="F106" s="3"/>
      <c r="G106" s="3"/>
      <c r="H106" s="3"/>
      <c r="I106" s="99"/>
    </row>
    <row r="107" spans="1:9">
      <c r="A107" s="2"/>
      <c r="B107" s="3">
        <v>6</v>
      </c>
      <c r="C107" s="88" t="s">
        <v>215</v>
      </c>
      <c r="D107" s="2">
        <v>5</v>
      </c>
      <c r="E107" s="3"/>
      <c r="F107" s="2">
        <v>20000</v>
      </c>
      <c r="G107" s="3"/>
      <c r="H107" s="3"/>
      <c r="I107" s="99">
        <v>20000</v>
      </c>
    </row>
    <row r="108" spans="1:9">
      <c r="A108" s="2"/>
      <c r="B108" s="3"/>
      <c r="C108" s="88"/>
      <c r="D108" s="2"/>
      <c r="E108" s="3"/>
      <c r="F108" s="2"/>
      <c r="G108" s="3"/>
      <c r="H108" s="3"/>
      <c r="I108" s="99"/>
    </row>
    <row r="109" spans="1:9">
      <c r="A109" s="96"/>
      <c r="B109" s="3"/>
      <c r="C109" s="91"/>
      <c r="D109" s="2"/>
      <c r="E109" s="3"/>
      <c r="F109" s="2"/>
      <c r="G109" s="3"/>
      <c r="H109" s="3"/>
      <c r="I109" s="99"/>
    </row>
    <row r="110" spans="1:9" ht="15">
      <c r="A110" s="148" t="s">
        <v>245</v>
      </c>
      <c r="B110" s="3">
        <v>22</v>
      </c>
      <c r="C110" s="88" t="s">
        <v>246</v>
      </c>
      <c r="D110" s="2"/>
      <c r="E110" s="3"/>
      <c r="F110" s="2"/>
      <c r="G110" s="3"/>
      <c r="H110" s="3"/>
      <c r="I110" s="99"/>
    </row>
    <row r="111" spans="1:9">
      <c r="A111" s="2"/>
      <c r="B111" s="3">
        <v>30</v>
      </c>
      <c r="C111" s="88" t="s">
        <v>215</v>
      </c>
      <c r="D111" s="2">
        <v>12</v>
      </c>
      <c r="E111" s="3"/>
      <c r="F111" s="2">
        <v>5000</v>
      </c>
      <c r="G111" s="3"/>
      <c r="H111" s="3"/>
      <c r="I111" s="99">
        <v>5000</v>
      </c>
    </row>
    <row r="112" spans="1:9">
      <c r="A112" s="32"/>
      <c r="B112" s="3"/>
      <c r="C112" s="88"/>
      <c r="D112" s="2"/>
      <c r="E112" s="3"/>
      <c r="F112" s="2"/>
      <c r="G112" s="3"/>
      <c r="H112" s="3"/>
      <c r="I112" s="99"/>
    </row>
    <row r="113" spans="1:9">
      <c r="A113" s="96"/>
      <c r="B113" s="3"/>
      <c r="C113" s="91"/>
      <c r="D113" s="2"/>
      <c r="E113" s="3"/>
      <c r="F113" s="2"/>
      <c r="G113" s="3"/>
      <c r="H113" s="3"/>
      <c r="I113" s="99"/>
    </row>
    <row r="114" spans="1:9" ht="15">
      <c r="A114" s="148" t="s">
        <v>247</v>
      </c>
      <c r="B114" s="3">
        <v>23</v>
      </c>
      <c r="C114" s="88" t="s">
        <v>248</v>
      </c>
      <c r="D114" s="2"/>
      <c r="E114" s="3"/>
      <c r="F114" s="2"/>
      <c r="G114" s="3"/>
      <c r="H114" s="3"/>
      <c r="I114" s="99"/>
    </row>
    <row r="115" spans="1:9">
      <c r="A115" s="2"/>
      <c r="B115" s="3">
        <v>30</v>
      </c>
      <c r="C115" s="88" t="s">
        <v>215</v>
      </c>
      <c r="D115" s="2">
        <v>12</v>
      </c>
      <c r="E115" s="3"/>
      <c r="F115" s="2">
        <v>87.5</v>
      </c>
      <c r="G115" s="3"/>
      <c r="H115" s="3"/>
      <c r="I115" s="99">
        <v>87.5</v>
      </c>
    </row>
    <row r="116" spans="1:9">
      <c r="A116" s="96"/>
      <c r="B116" s="3"/>
      <c r="C116" s="91"/>
      <c r="D116" s="2"/>
      <c r="E116" s="3"/>
      <c r="F116" s="2"/>
      <c r="G116" s="3"/>
      <c r="H116" s="3"/>
      <c r="I116" s="99"/>
    </row>
    <row r="117" spans="1:9">
      <c r="A117" s="2"/>
      <c r="B117" s="3"/>
      <c r="C117" s="88"/>
      <c r="D117" s="2"/>
      <c r="E117" s="3"/>
      <c r="F117" s="2"/>
      <c r="G117" s="3"/>
      <c r="H117" s="3"/>
      <c r="I117" s="99"/>
    </row>
    <row r="118" spans="1:9">
      <c r="A118" s="2"/>
      <c r="B118" s="3"/>
      <c r="C118" s="88"/>
      <c r="D118" s="2"/>
      <c r="E118" s="3"/>
      <c r="F118" s="2"/>
      <c r="G118" s="3"/>
      <c r="H118" s="3"/>
      <c r="I118" s="99"/>
    </row>
    <row r="119" spans="1:9">
      <c r="A119" s="96"/>
      <c r="B119" s="3"/>
      <c r="C119" s="91"/>
      <c r="D119" s="2"/>
      <c r="E119" s="3"/>
      <c r="F119" s="2"/>
      <c r="G119" s="3"/>
      <c r="H119" s="3"/>
      <c r="I119" s="99"/>
    </row>
    <row r="120" spans="1:9">
      <c r="A120" s="2"/>
      <c r="B120" s="3"/>
      <c r="C120" s="88"/>
      <c r="D120" s="2"/>
      <c r="E120" s="3"/>
      <c r="F120" s="2"/>
      <c r="G120" s="3"/>
      <c r="H120" s="3"/>
      <c r="I120" s="99"/>
    </row>
    <row r="121" spans="1:9">
      <c r="A121" s="2"/>
      <c r="B121" s="3"/>
      <c r="C121" s="88"/>
      <c r="D121" s="2"/>
      <c r="E121" s="3"/>
      <c r="F121" s="2"/>
      <c r="G121" s="3"/>
      <c r="H121" s="3"/>
      <c r="I121" s="99"/>
    </row>
    <row r="122" spans="1:9">
      <c r="A122" s="2"/>
      <c r="B122" s="3"/>
      <c r="C122" s="88"/>
      <c r="D122" s="2"/>
      <c r="E122" s="3"/>
      <c r="F122" s="2"/>
      <c r="G122" s="3"/>
      <c r="H122" s="3"/>
      <c r="I122" s="99"/>
    </row>
    <row r="123" spans="1:9">
      <c r="A123" s="96"/>
      <c r="B123" s="3"/>
      <c r="C123" s="91"/>
      <c r="D123" s="2"/>
      <c r="E123" s="3"/>
      <c r="F123" s="2"/>
      <c r="G123" s="3"/>
      <c r="H123" s="3"/>
      <c r="I123" s="99"/>
    </row>
    <row r="124" spans="1:9">
      <c r="A124" s="2"/>
      <c r="B124" s="3"/>
      <c r="C124" s="88"/>
      <c r="D124" s="2"/>
      <c r="E124" s="3"/>
      <c r="F124" s="2"/>
      <c r="G124" s="3"/>
      <c r="H124" s="3"/>
      <c r="I124" s="99"/>
    </row>
    <row r="125" spans="1:9">
      <c r="A125" s="2"/>
      <c r="B125" s="3"/>
      <c r="C125" s="88"/>
      <c r="D125" s="2"/>
      <c r="E125" s="3"/>
      <c r="F125" s="2"/>
      <c r="G125" s="3"/>
      <c r="H125" s="3"/>
      <c r="I125" s="99"/>
    </row>
    <row r="126" spans="1:9">
      <c r="A126" s="96"/>
      <c r="B126" s="3"/>
      <c r="C126" s="91"/>
      <c r="D126" s="2"/>
      <c r="E126" s="3"/>
      <c r="F126" s="2"/>
      <c r="G126" s="3"/>
      <c r="H126" s="3"/>
      <c r="I126" s="99"/>
    </row>
    <row r="127" spans="1:9">
      <c r="A127" s="2"/>
      <c r="B127" s="3"/>
      <c r="C127" s="88"/>
      <c r="D127" s="2"/>
      <c r="E127" s="3"/>
      <c r="F127" s="2"/>
      <c r="G127" s="3"/>
      <c r="H127" s="3"/>
      <c r="I127" s="99"/>
    </row>
    <row r="128" spans="1:9">
      <c r="A128" s="2"/>
      <c r="B128" s="3"/>
      <c r="C128" s="88"/>
      <c r="D128" s="2"/>
      <c r="E128" s="3"/>
      <c r="F128" s="2"/>
      <c r="G128" s="3"/>
      <c r="H128" s="3"/>
      <c r="I128" s="99"/>
    </row>
    <row r="129" spans="1:9">
      <c r="A129" s="2"/>
      <c r="B129" s="3"/>
      <c r="C129" s="88"/>
      <c r="D129" s="2"/>
      <c r="E129" s="3"/>
      <c r="F129" s="2"/>
      <c r="G129" s="3"/>
      <c r="H129" s="3"/>
      <c r="I129" s="99"/>
    </row>
    <row r="130" spans="1:9">
      <c r="A130" s="96"/>
      <c r="B130" s="3"/>
      <c r="C130" s="91"/>
      <c r="D130" s="2"/>
      <c r="E130" s="3"/>
      <c r="F130" s="2"/>
      <c r="G130" s="3"/>
      <c r="H130" s="3"/>
      <c r="I130" s="99"/>
    </row>
    <row r="131" spans="1:9">
      <c r="A131" s="2"/>
      <c r="B131" s="3"/>
      <c r="C131" s="88"/>
      <c r="D131" s="2"/>
      <c r="E131" s="3"/>
      <c r="F131" s="2"/>
      <c r="G131" s="3"/>
      <c r="H131" s="3"/>
      <c r="I131" s="99"/>
    </row>
    <row r="132" spans="1:9">
      <c r="A132" s="2"/>
      <c r="B132" s="3"/>
      <c r="C132" s="88"/>
      <c r="D132" s="2"/>
      <c r="E132" s="3"/>
      <c r="F132" s="2"/>
      <c r="G132" s="3"/>
      <c r="H132" s="3"/>
      <c r="I132" s="99"/>
    </row>
    <row r="133" spans="1:9">
      <c r="A133" s="2"/>
      <c r="B133" s="3"/>
      <c r="C133" s="88"/>
      <c r="D133" s="2"/>
      <c r="E133" s="3"/>
      <c r="F133" s="2"/>
      <c r="G133" s="3"/>
      <c r="H133" s="3"/>
      <c r="I133" s="99"/>
    </row>
    <row r="134" spans="1:9">
      <c r="A134" s="96"/>
      <c r="B134" s="3"/>
      <c r="C134" s="91"/>
      <c r="D134" s="2"/>
      <c r="E134" s="3"/>
      <c r="F134" s="2"/>
      <c r="G134" s="3"/>
      <c r="H134" s="3"/>
      <c r="I134" s="99"/>
    </row>
    <row r="135" spans="1:9">
      <c r="A135" s="2"/>
      <c r="B135" s="3"/>
      <c r="C135" s="88"/>
      <c r="D135" s="2"/>
      <c r="E135" s="3"/>
      <c r="F135" s="2"/>
      <c r="G135" s="3"/>
      <c r="H135" s="3"/>
      <c r="I135" s="99"/>
    </row>
    <row r="136" spans="1:9">
      <c r="A136" s="2"/>
      <c r="B136" s="3"/>
      <c r="C136" s="88"/>
      <c r="D136" s="2"/>
      <c r="E136" s="3"/>
      <c r="F136" s="2"/>
      <c r="G136" s="3"/>
      <c r="H136" s="3"/>
      <c r="I136" s="99"/>
    </row>
    <row r="137" spans="1:9">
      <c r="A137" s="96"/>
      <c r="B137" s="3"/>
      <c r="C137" s="91"/>
      <c r="D137" s="2"/>
      <c r="E137" s="3"/>
      <c r="F137" s="2"/>
      <c r="G137" s="3"/>
      <c r="H137" s="3"/>
      <c r="I137" s="99"/>
    </row>
    <row r="138" spans="1:9">
      <c r="A138" s="2"/>
      <c r="B138" s="3"/>
      <c r="C138" s="88"/>
      <c r="D138" s="2"/>
      <c r="E138" s="3"/>
      <c r="F138" s="2"/>
      <c r="G138" s="3"/>
      <c r="H138" s="3"/>
      <c r="I138" s="99"/>
    </row>
    <row r="139" spans="1:9">
      <c r="A139" s="2"/>
      <c r="B139" s="3"/>
      <c r="C139" s="88"/>
      <c r="D139" s="2"/>
      <c r="E139" s="3"/>
      <c r="F139" s="2"/>
      <c r="G139" s="3"/>
      <c r="H139" s="3"/>
      <c r="I139" s="99"/>
    </row>
    <row r="140" spans="1:9">
      <c r="A140" s="96"/>
      <c r="B140" s="3"/>
      <c r="C140" s="91"/>
      <c r="D140" s="2"/>
      <c r="E140" s="3"/>
      <c r="F140" s="2"/>
      <c r="G140" s="3"/>
      <c r="H140" s="3"/>
      <c r="I140" s="99"/>
    </row>
    <row r="141" spans="1:9">
      <c r="A141" s="2"/>
      <c r="B141" s="3"/>
      <c r="C141" s="88"/>
      <c r="D141" s="2"/>
      <c r="E141" s="3"/>
      <c r="F141" s="2"/>
      <c r="G141" s="3"/>
      <c r="H141" s="3"/>
      <c r="I141" s="99"/>
    </row>
    <row r="142" spans="1:9">
      <c r="A142" s="2"/>
      <c r="B142" s="3"/>
      <c r="C142" s="88"/>
      <c r="D142" s="2"/>
      <c r="E142" s="3"/>
      <c r="F142" s="2"/>
      <c r="G142" s="3"/>
      <c r="H142" s="3"/>
      <c r="I142" s="99"/>
    </row>
    <row r="143" spans="1:9">
      <c r="A143" s="96"/>
      <c r="B143" s="3"/>
      <c r="C143" s="91"/>
      <c r="D143" s="2"/>
      <c r="E143" s="3"/>
      <c r="F143" s="2"/>
      <c r="G143" s="3"/>
      <c r="H143" s="3"/>
      <c r="I143" s="99"/>
    </row>
    <row r="144" spans="1:9">
      <c r="A144" s="2"/>
      <c r="B144" s="3"/>
      <c r="C144" s="88"/>
      <c r="D144" s="2"/>
      <c r="E144" s="3"/>
      <c r="F144" s="2"/>
      <c r="G144" s="3"/>
      <c r="H144" s="3"/>
      <c r="I144" s="99"/>
    </row>
    <row r="145" spans="1:9">
      <c r="A145" s="2"/>
      <c r="B145" s="3"/>
      <c r="C145" s="88"/>
      <c r="D145" s="2"/>
      <c r="E145" s="3"/>
      <c r="F145" s="2"/>
      <c r="G145" s="3"/>
      <c r="H145" s="3"/>
      <c r="I145" s="99"/>
    </row>
    <row r="146" spans="1:9">
      <c r="A146" s="96"/>
      <c r="B146" s="3"/>
      <c r="C146" s="91"/>
      <c r="E146" s="3"/>
      <c r="G146" s="3"/>
      <c r="H146" s="3"/>
      <c r="I146" s="99"/>
    </row>
    <row r="147" spans="1:9">
      <c r="A147" s="96"/>
      <c r="B147" s="3"/>
      <c r="C147" s="88"/>
      <c r="D147" s="2"/>
      <c r="E147" s="3"/>
      <c r="F147" s="2"/>
      <c r="G147" s="3"/>
      <c r="H147" s="3"/>
      <c r="I147" s="99"/>
    </row>
    <row r="148" spans="1:9">
      <c r="A148" s="2"/>
      <c r="B148" s="3"/>
      <c r="C148" s="88"/>
      <c r="D148" s="2"/>
      <c r="E148" s="3"/>
      <c r="F148" s="2"/>
      <c r="G148" s="3"/>
      <c r="H148" s="3"/>
      <c r="I148" s="99"/>
    </row>
    <row r="149" spans="1:9">
      <c r="A149" s="96"/>
      <c r="B149" s="3"/>
      <c r="C149" s="91"/>
      <c r="E149" s="3"/>
      <c r="G149" s="3"/>
      <c r="H149" s="3"/>
      <c r="I149" s="99"/>
    </row>
    <row r="150" spans="1:9">
      <c r="A150" s="96"/>
      <c r="B150" s="3"/>
      <c r="C150" s="88"/>
      <c r="D150" s="2"/>
      <c r="E150" s="3"/>
      <c r="F150" s="2"/>
      <c r="G150" s="3"/>
      <c r="H150" s="3"/>
      <c r="I150" s="99"/>
    </row>
    <row r="151" spans="1:9">
      <c r="A151" s="2"/>
      <c r="B151" s="3"/>
      <c r="C151" s="88"/>
      <c r="D151" s="2"/>
      <c r="E151" s="3"/>
      <c r="F151" s="2"/>
      <c r="G151" s="3"/>
      <c r="H151" s="3"/>
      <c r="I151" s="99"/>
    </row>
    <row r="152" spans="1:9">
      <c r="A152" s="96"/>
      <c r="B152" s="3"/>
      <c r="C152" s="91"/>
      <c r="E152" s="3"/>
      <c r="F152" s="2"/>
      <c r="G152" s="3"/>
      <c r="H152" s="3"/>
      <c r="I152" s="99"/>
    </row>
    <row r="153" spans="1:9">
      <c r="A153" s="2"/>
      <c r="B153" s="3"/>
      <c r="C153" s="88"/>
      <c r="D153" s="2"/>
      <c r="E153" s="3"/>
      <c r="F153" s="2"/>
      <c r="G153" s="3"/>
      <c r="H153" s="3"/>
      <c r="I153" s="99"/>
    </row>
    <row r="154" spans="1:9">
      <c r="A154" s="2"/>
      <c r="B154" s="3"/>
      <c r="C154" s="88"/>
      <c r="D154" s="2"/>
      <c r="E154" s="3"/>
      <c r="F154" s="2"/>
      <c r="G154" s="3"/>
      <c r="H154" s="3"/>
      <c r="I154" s="99"/>
    </row>
    <row r="155" spans="1:9">
      <c r="A155" s="96"/>
      <c r="B155" s="3"/>
      <c r="C155" s="91"/>
      <c r="E155" s="3"/>
      <c r="F155" s="2"/>
      <c r="G155" s="3"/>
      <c r="H155" s="3"/>
      <c r="I155" s="99"/>
    </row>
    <row r="156" spans="1:9">
      <c r="A156" s="2"/>
      <c r="B156" s="3"/>
      <c r="C156" s="88"/>
      <c r="D156" s="2"/>
      <c r="E156" s="3"/>
      <c r="F156" s="2"/>
      <c r="G156" s="3"/>
      <c r="H156" s="3"/>
      <c r="I156" s="99"/>
    </row>
    <row r="157" spans="1:9">
      <c r="A157" s="2"/>
      <c r="B157" s="3"/>
      <c r="C157" s="88"/>
      <c r="D157" s="2"/>
      <c r="E157" s="3"/>
      <c r="F157" s="2"/>
      <c r="G157" s="3"/>
      <c r="H157" s="3"/>
      <c r="I157" s="99"/>
    </row>
    <row r="158" spans="1:9">
      <c r="A158" s="96"/>
      <c r="B158" s="3"/>
      <c r="C158" s="91"/>
      <c r="D158" s="2"/>
      <c r="E158" s="3"/>
      <c r="F158" s="2"/>
      <c r="G158" s="3"/>
      <c r="H158" s="3"/>
      <c r="I158" s="99"/>
    </row>
    <row r="159" spans="1:9">
      <c r="A159" s="2"/>
      <c r="B159" s="3"/>
      <c r="C159" s="88"/>
      <c r="D159" s="2"/>
      <c r="E159" s="3"/>
      <c r="F159" s="2"/>
      <c r="G159" s="3"/>
      <c r="H159" s="3"/>
      <c r="I159" s="99"/>
    </row>
    <row r="160" spans="1:9">
      <c r="A160" s="32"/>
      <c r="B160" s="3"/>
      <c r="C160" s="88"/>
      <c r="D160" s="2"/>
      <c r="E160" s="3"/>
      <c r="F160" s="2"/>
      <c r="G160" s="3"/>
      <c r="H160" s="3"/>
      <c r="I160" s="99"/>
    </row>
    <row r="161" spans="1:9">
      <c r="A161" s="96"/>
      <c r="B161" s="3"/>
      <c r="C161" s="91"/>
      <c r="D161" s="2"/>
      <c r="E161" s="3"/>
      <c r="F161" s="2"/>
      <c r="G161" s="3"/>
      <c r="H161" s="3"/>
      <c r="I161" s="99"/>
    </row>
    <row r="162" spans="1:9">
      <c r="A162" s="2"/>
      <c r="B162" s="3"/>
      <c r="C162" s="88"/>
      <c r="D162" s="2"/>
      <c r="E162" s="3"/>
      <c r="F162" s="2"/>
      <c r="G162" s="3"/>
      <c r="H162" s="3"/>
      <c r="I162" s="99"/>
    </row>
    <row r="163" spans="1:9">
      <c r="A163" s="2"/>
      <c r="B163" s="3"/>
      <c r="C163" s="88"/>
      <c r="D163" s="2"/>
      <c r="E163" s="3"/>
      <c r="F163" s="2"/>
      <c r="G163" s="3"/>
      <c r="H163" s="3"/>
      <c r="I163" s="99"/>
    </row>
    <row r="164" spans="1:9">
      <c r="A164" s="96"/>
      <c r="B164" s="3"/>
      <c r="C164" s="91"/>
      <c r="D164" s="2"/>
      <c r="E164" s="3"/>
      <c r="F164" s="2"/>
      <c r="G164" s="3"/>
      <c r="H164" s="3"/>
      <c r="I164" s="99"/>
    </row>
    <row r="165" spans="1:9">
      <c r="A165" s="2"/>
      <c r="B165" s="3"/>
      <c r="C165" s="88"/>
      <c r="D165" s="2"/>
      <c r="E165" s="3"/>
      <c r="F165" s="2"/>
      <c r="G165" s="3"/>
      <c r="H165" s="3"/>
      <c r="I165" s="99"/>
    </row>
    <row r="166" spans="1:9">
      <c r="A166" s="2"/>
      <c r="B166" s="3"/>
      <c r="C166" s="88"/>
      <c r="D166" s="2"/>
      <c r="E166" s="3"/>
      <c r="F166" s="2"/>
      <c r="G166" s="3"/>
      <c r="H166" s="3"/>
      <c r="I166" s="99"/>
    </row>
    <row r="167" spans="1:9">
      <c r="A167" s="2"/>
      <c r="B167" s="3"/>
      <c r="C167" s="88"/>
      <c r="D167" s="2"/>
      <c r="E167" s="3"/>
      <c r="F167" s="2"/>
      <c r="G167" s="3"/>
      <c r="H167" s="3"/>
      <c r="I167" s="99"/>
    </row>
    <row r="168" spans="1:9">
      <c r="A168" s="2"/>
      <c r="B168" s="3"/>
      <c r="C168" s="88"/>
      <c r="D168" s="2"/>
      <c r="E168" s="3"/>
      <c r="F168" s="2"/>
      <c r="G168" s="3"/>
      <c r="H168" s="3"/>
      <c r="I168" s="99"/>
    </row>
    <row r="169" spans="1:9">
      <c r="A169" s="2"/>
      <c r="B169" s="3"/>
      <c r="C169" s="88"/>
      <c r="D169" s="2"/>
      <c r="E169" s="3"/>
      <c r="F169" s="2"/>
      <c r="G169" s="3"/>
      <c r="H169" s="3"/>
      <c r="I169" s="99"/>
    </row>
    <row r="170" spans="1:9">
      <c r="A170" s="2"/>
      <c r="B170" s="3"/>
      <c r="C170" s="88"/>
      <c r="D170" s="2"/>
      <c r="E170" s="3"/>
      <c r="F170" s="2"/>
      <c r="G170" s="3"/>
      <c r="H170" s="3"/>
      <c r="I170" s="99"/>
    </row>
    <row r="171" spans="1:9">
      <c r="A171" s="2"/>
      <c r="B171" s="3"/>
      <c r="C171" s="88"/>
      <c r="D171" s="2"/>
      <c r="E171" s="3"/>
      <c r="F171" s="2"/>
      <c r="G171" s="3"/>
      <c r="H171" s="3"/>
      <c r="I171" s="99"/>
    </row>
    <row r="172" spans="1:9">
      <c r="A172" s="2"/>
      <c r="B172" s="3"/>
      <c r="C172" s="88"/>
      <c r="D172" s="2"/>
      <c r="E172" s="3"/>
      <c r="F172" s="2"/>
      <c r="G172" s="3"/>
      <c r="H172" s="3"/>
      <c r="I172" s="99"/>
    </row>
    <row r="173" spans="1:9">
      <c r="A173" s="2"/>
      <c r="B173" s="3"/>
      <c r="C173" s="88"/>
      <c r="D173" s="2"/>
      <c r="E173" s="3"/>
      <c r="F173" s="2"/>
      <c r="G173" s="3"/>
      <c r="H173" s="3"/>
      <c r="I173" s="99"/>
    </row>
    <row r="174" spans="1:9">
      <c r="A174" s="2"/>
      <c r="B174" s="3"/>
      <c r="C174" s="88"/>
      <c r="D174" s="2"/>
      <c r="E174" s="3"/>
      <c r="F174" s="2"/>
      <c r="G174" s="3"/>
      <c r="H174" s="3"/>
      <c r="I174" s="99"/>
    </row>
    <row r="175" spans="1:9">
      <c r="A175" s="2"/>
      <c r="B175" s="3"/>
      <c r="C175" s="88"/>
      <c r="D175" s="2"/>
      <c r="E175" s="3"/>
      <c r="F175" s="2"/>
      <c r="G175" s="3"/>
      <c r="H175" s="3"/>
      <c r="I175" s="99"/>
    </row>
    <row r="176" spans="1:9">
      <c r="A176" s="2"/>
      <c r="B176" s="3"/>
      <c r="C176" s="88"/>
      <c r="D176" s="2"/>
      <c r="E176" s="3"/>
      <c r="F176" s="2"/>
      <c r="I176" s="99"/>
    </row>
    <row r="177" spans="1:9">
      <c r="A177" s="2"/>
      <c r="B177" s="3"/>
      <c r="C177" s="88"/>
      <c r="D177" s="2"/>
      <c r="E177" s="3"/>
      <c r="F177" s="2"/>
      <c r="I177" s="99"/>
    </row>
    <row r="178" spans="1:9">
      <c r="A178" s="2"/>
      <c r="B178" s="3"/>
      <c r="C178" s="88"/>
      <c r="D178" s="2"/>
      <c r="E178" s="3"/>
      <c r="F178" s="2"/>
      <c r="I178" s="99"/>
    </row>
    <row r="179" spans="1:9">
      <c r="A179" s="2"/>
      <c r="B179" s="3"/>
      <c r="C179" s="88"/>
      <c r="D179" s="2"/>
      <c r="E179" s="3"/>
      <c r="F179" s="2"/>
      <c r="I179" s="99"/>
    </row>
    <row r="180" spans="1:9">
      <c r="A180" s="2"/>
      <c r="B180" s="3"/>
      <c r="C180" s="88"/>
      <c r="D180" s="2"/>
      <c r="E180" s="3"/>
      <c r="F180" s="2"/>
      <c r="I180" s="99"/>
    </row>
    <row r="181" spans="1:9">
      <c r="A181" s="2"/>
      <c r="B181" s="3"/>
      <c r="C181" s="88"/>
      <c r="D181" s="2"/>
      <c r="E181" s="3"/>
      <c r="F181" s="2"/>
      <c r="I181" s="99"/>
    </row>
    <row r="182" spans="1:9">
      <c r="A182" s="2"/>
      <c r="B182" s="3"/>
      <c r="C182" s="88"/>
      <c r="D182" s="2"/>
      <c r="E182" s="3"/>
      <c r="F182" s="2"/>
      <c r="I182" s="99"/>
    </row>
    <row r="183" spans="1:9">
      <c r="A183" s="2"/>
      <c r="B183" s="3"/>
      <c r="C183" s="88"/>
      <c r="D183" s="2"/>
      <c r="E183" s="3"/>
      <c r="F183" s="2"/>
      <c r="I183" s="99"/>
    </row>
    <row r="184" spans="1:9">
      <c r="A184" s="2"/>
      <c r="B184" s="3"/>
      <c r="C184" s="88"/>
      <c r="D184" s="2"/>
      <c r="E184" s="3"/>
      <c r="F184" s="2"/>
      <c r="I184" s="99"/>
    </row>
    <row r="185" spans="1:9">
      <c r="A185" s="2"/>
      <c r="B185" s="3"/>
      <c r="C185" s="88"/>
      <c r="D185" s="2"/>
      <c r="E185" s="3"/>
      <c r="F185" s="2"/>
      <c r="I185" s="99"/>
    </row>
    <row r="186" spans="1:9">
      <c r="A186" s="2"/>
      <c r="B186" s="3"/>
      <c r="C186" s="88"/>
      <c r="D186" s="2"/>
      <c r="E186" s="3"/>
      <c r="F186" s="2"/>
      <c r="I186" s="99"/>
    </row>
    <row r="187" spans="1:9">
      <c r="A187" s="2"/>
      <c r="B187" s="3"/>
      <c r="C187" s="88"/>
      <c r="D187" s="2"/>
      <c r="E187" s="3"/>
      <c r="F187" s="2"/>
      <c r="I187" s="99"/>
    </row>
    <row r="188" spans="1:9">
      <c r="A188" s="2"/>
      <c r="B188" s="3"/>
      <c r="C188" s="88"/>
      <c r="D188" s="2"/>
      <c r="E188" s="3"/>
      <c r="F188" s="2"/>
      <c r="I188" s="99"/>
    </row>
    <row r="189" spans="1:9">
      <c r="A189" s="2"/>
      <c r="B189" s="3"/>
      <c r="C189" s="88"/>
      <c r="D189" s="2"/>
      <c r="E189" s="3"/>
      <c r="F189" s="2"/>
      <c r="I189" s="99"/>
    </row>
    <row r="190" spans="1:9">
      <c r="A190" s="2"/>
      <c r="B190" s="3"/>
      <c r="C190" s="88"/>
      <c r="D190" s="2"/>
      <c r="E190" s="3"/>
      <c r="F190" s="2"/>
      <c r="I190" s="99"/>
    </row>
    <row r="191" spans="1:9">
      <c r="A191" s="2"/>
      <c r="B191" s="3"/>
      <c r="C191" s="88"/>
      <c r="D191" s="2"/>
      <c r="E191" s="3"/>
      <c r="F191" s="2"/>
      <c r="I191" s="99"/>
    </row>
    <row r="192" spans="1:9">
      <c r="A192" s="2"/>
      <c r="B192" s="3"/>
      <c r="C192" s="88"/>
      <c r="D192" s="2"/>
      <c r="E192" s="3"/>
      <c r="F192" s="2"/>
      <c r="I192" s="99"/>
    </row>
    <row r="193" spans="1:9">
      <c r="A193" s="2"/>
      <c r="B193" s="3"/>
      <c r="C193" s="88"/>
      <c r="D193" s="2"/>
      <c r="E193" s="3"/>
      <c r="F193" s="2"/>
      <c r="I193" s="99"/>
    </row>
    <row r="194" spans="1:9">
      <c r="A194" s="2"/>
      <c r="B194" s="3"/>
      <c r="C194" s="88"/>
      <c r="D194" s="2"/>
      <c r="E194" s="3"/>
      <c r="F194" s="2"/>
      <c r="I194" s="99"/>
    </row>
    <row r="195" spans="1:9">
      <c r="A195" s="2"/>
      <c r="B195" s="3"/>
      <c r="C195" s="88"/>
      <c r="D195" s="2"/>
      <c r="E195" s="3"/>
      <c r="F195" s="2"/>
      <c r="I195" s="99"/>
    </row>
    <row r="196" spans="1:9">
      <c r="A196" s="2"/>
      <c r="B196" s="3"/>
      <c r="C196" s="88"/>
      <c r="D196" s="2"/>
      <c r="E196" s="3"/>
      <c r="F196" s="2"/>
      <c r="I196" s="99"/>
    </row>
    <row r="197" spans="1:9">
      <c r="A197" s="2"/>
      <c r="B197" s="3"/>
      <c r="C197" s="88"/>
      <c r="D197" s="2"/>
      <c r="E197" s="3"/>
      <c r="F197" s="2"/>
      <c r="I197" s="99"/>
    </row>
    <row r="198" spans="1:9">
      <c r="A198" s="2"/>
      <c r="B198" s="3"/>
      <c r="C198" s="88"/>
      <c r="D198" s="2"/>
      <c r="E198" s="3"/>
      <c r="F198" s="2"/>
      <c r="I198" s="99"/>
    </row>
    <row r="199" spans="1:9">
      <c r="A199" s="2"/>
      <c r="B199" s="3"/>
      <c r="C199" s="88"/>
      <c r="D199" s="2"/>
      <c r="E199" s="3"/>
      <c r="F199" s="2"/>
      <c r="I199" s="99"/>
    </row>
    <row r="200" spans="1:9">
      <c r="A200" s="2"/>
      <c r="B200" s="3"/>
      <c r="C200" s="88"/>
      <c r="D200" s="2"/>
      <c r="E200" s="3"/>
      <c r="F200" s="2"/>
      <c r="I200" s="99"/>
    </row>
    <row r="201" spans="1:9">
      <c r="A201" s="2"/>
      <c r="B201" s="3"/>
      <c r="C201" s="88"/>
      <c r="D201" s="2"/>
      <c r="E201" s="3"/>
      <c r="F201" s="2"/>
      <c r="I201" s="99"/>
    </row>
    <row r="202" spans="1:9">
      <c r="A202" s="2"/>
      <c r="B202" s="3"/>
      <c r="C202" s="88"/>
      <c r="D202" s="2"/>
      <c r="E202" s="3"/>
      <c r="F202" s="2"/>
      <c r="I202" s="99"/>
    </row>
    <row r="203" spans="1:9">
      <c r="A203" s="2"/>
      <c r="B203" s="3"/>
      <c r="C203" s="88"/>
      <c r="D203" s="2"/>
      <c r="E203" s="3"/>
      <c r="F203" s="2"/>
      <c r="I203" s="99"/>
    </row>
    <row r="204" spans="1:9">
      <c r="A204" s="2"/>
      <c r="B204" s="3"/>
      <c r="C204" s="88"/>
      <c r="D204" s="2"/>
      <c r="E204" s="3"/>
      <c r="F204" s="2"/>
      <c r="I204" s="99"/>
    </row>
    <row r="205" spans="1:9">
      <c r="A205" s="2"/>
      <c r="B205" s="3"/>
      <c r="C205" s="88"/>
      <c r="D205" s="2"/>
      <c r="E205" s="3"/>
      <c r="F205" s="2"/>
    </row>
    <row r="206" spans="1:9">
      <c r="F206" s="2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0501-9C98-4AA0-9F61-09FF2457E75C}">
  <dimension ref="B1:I41"/>
  <sheetViews>
    <sheetView tabSelected="1" topLeftCell="A5" workbookViewId="0">
      <selection activeCell="F9" sqref="F9"/>
    </sheetView>
  </sheetViews>
  <sheetFormatPr defaultRowHeight="15"/>
  <cols>
    <col min="3" max="3" width="11" customWidth="1"/>
    <col min="4" max="4" width="28" customWidth="1"/>
    <col min="5" max="5" width="12" bestFit="1" customWidth="1"/>
    <col min="6" max="6" width="22.5703125" customWidth="1"/>
    <col min="7" max="7" width="14.28515625" customWidth="1"/>
    <col min="8" max="8" width="12.140625" bestFit="1" customWidth="1"/>
    <col min="9" max="9" width="15" customWidth="1"/>
  </cols>
  <sheetData>
    <row r="1" spans="2:9">
      <c r="B1" s="173" t="s">
        <v>155</v>
      </c>
      <c r="C1" s="174"/>
      <c r="D1" s="174"/>
      <c r="E1" s="174"/>
      <c r="F1" s="174"/>
      <c r="G1" s="174"/>
      <c r="H1" s="174"/>
    </row>
    <row r="2" spans="2:9">
      <c r="B2" s="173" t="s">
        <v>249</v>
      </c>
      <c r="C2" s="174"/>
      <c r="D2" s="174"/>
      <c r="E2" s="174"/>
      <c r="F2" s="174"/>
      <c r="G2" s="174"/>
      <c r="H2" s="174"/>
    </row>
    <row r="3" spans="2:9" ht="22.5">
      <c r="B3" s="154"/>
      <c r="C3" s="154"/>
      <c r="D3" s="154"/>
      <c r="E3" s="155"/>
      <c r="F3" s="155"/>
      <c r="G3" s="155"/>
      <c r="H3" s="155"/>
    </row>
    <row r="4" spans="2:9">
      <c r="B4" s="171" t="s">
        <v>250</v>
      </c>
      <c r="C4" s="171" t="s">
        <v>251</v>
      </c>
      <c r="D4" s="156" t="s">
        <v>252</v>
      </c>
      <c r="E4" s="175" t="s">
        <v>253</v>
      </c>
      <c r="F4" s="176"/>
      <c r="G4" s="169" t="s">
        <v>254</v>
      </c>
      <c r="H4" s="170"/>
    </row>
    <row r="5" spans="2:9">
      <c r="B5" s="172"/>
      <c r="C5" s="172"/>
      <c r="D5" s="157" t="s">
        <v>210</v>
      </c>
      <c r="E5" s="157" t="s">
        <v>211</v>
      </c>
      <c r="F5" s="157" t="s">
        <v>212</v>
      </c>
      <c r="G5" s="157" t="s">
        <v>255</v>
      </c>
      <c r="H5" s="157" t="s">
        <v>256</v>
      </c>
    </row>
    <row r="6" spans="2:9">
      <c r="B6" s="158">
        <v>1</v>
      </c>
      <c r="C6" s="159">
        <v>1</v>
      </c>
      <c r="D6" s="159" t="s">
        <v>6</v>
      </c>
      <c r="E6" s="162">
        <v>27735.65</v>
      </c>
      <c r="F6" s="162">
        <v>19600</v>
      </c>
      <c r="G6" s="163">
        <v>8135.65</v>
      </c>
      <c r="H6" s="162" t="s">
        <v>252</v>
      </c>
      <c r="I6" s="190">
        <f>E6-F6</f>
        <v>8135.6500000000015</v>
      </c>
    </row>
    <row r="7" spans="2:9">
      <c r="B7" s="158">
        <v>2</v>
      </c>
      <c r="C7" s="159">
        <v>2</v>
      </c>
      <c r="D7" s="159" t="s">
        <v>9</v>
      </c>
      <c r="E7" s="162">
        <v>45200</v>
      </c>
      <c r="F7" s="162">
        <v>21807.5</v>
      </c>
      <c r="G7" s="162" t="s">
        <v>257</v>
      </c>
      <c r="H7" s="162" t="s">
        <v>252</v>
      </c>
      <c r="I7" s="190">
        <f>E7-F7</f>
        <v>23392.5</v>
      </c>
    </row>
    <row r="8" spans="2:9">
      <c r="B8" s="158">
        <v>3</v>
      </c>
      <c r="C8" s="159">
        <v>3</v>
      </c>
      <c r="D8" s="159" t="s">
        <v>258</v>
      </c>
      <c r="E8" s="162">
        <v>16100</v>
      </c>
      <c r="F8" s="162">
        <v>1500</v>
      </c>
      <c r="G8" s="162">
        <v>14600</v>
      </c>
      <c r="H8" s="162" t="s">
        <v>252</v>
      </c>
      <c r="I8" s="190">
        <f>E8-F8</f>
        <v>14600</v>
      </c>
    </row>
    <row r="9" spans="2:9" ht="30.75">
      <c r="B9" s="158">
        <v>4</v>
      </c>
      <c r="C9" s="159">
        <v>4</v>
      </c>
      <c r="D9" s="161" t="s">
        <v>15</v>
      </c>
      <c r="E9" s="164">
        <v>3600</v>
      </c>
      <c r="F9" s="165">
        <v>800</v>
      </c>
      <c r="G9" s="164">
        <v>2800</v>
      </c>
      <c r="H9" s="165" t="s">
        <v>252</v>
      </c>
      <c r="I9" s="190">
        <f>E9-F9</f>
        <v>2800</v>
      </c>
    </row>
    <row r="10" spans="2:9">
      <c r="B10" s="158">
        <v>5</v>
      </c>
      <c r="C10" s="159">
        <v>5</v>
      </c>
      <c r="D10" s="160" t="s">
        <v>259</v>
      </c>
      <c r="E10" s="166">
        <v>63518.22</v>
      </c>
      <c r="F10" s="188">
        <v>1200</v>
      </c>
      <c r="G10" s="166">
        <v>62318.22</v>
      </c>
      <c r="H10" s="162" t="s">
        <v>252</v>
      </c>
      <c r="I10" s="190">
        <f>E10-F10</f>
        <v>62318.22</v>
      </c>
    </row>
    <row r="11" spans="2:9">
      <c r="B11" s="158">
        <v>6</v>
      </c>
      <c r="C11" s="159">
        <v>6</v>
      </c>
      <c r="D11" s="157" t="s">
        <v>52</v>
      </c>
      <c r="E11" s="162">
        <v>192498.97</v>
      </c>
      <c r="F11" s="188" t="s">
        <v>252</v>
      </c>
      <c r="G11" s="162">
        <v>192498.97</v>
      </c>
      <c r="H11" s="162" t="s">
        <v>252</v>
      </c>
    </row>
    <row r="12" spans="2:9">
      <c r="B12" s="158">
        <v>7</v>
      </c>
      <c r="C12" s="159">
        <v>7</v>
      </c>
      <c r="D12" s="159" t="s">
        <v>260</v>
      </c>
      <c r="E12" s="162">
        <v>5000</v>
      </c>
      <c r="F12" s="188" t="s">
        <v>252</v>
      </c>
      <c r="G12" s="162">
        <v>5000</v>
      </c>
      <c r="H12" s="162" t="s">
        <v>252</v>
      </c>
    </row>
    <row r="13" spans="2:9" ht="30.75">
      <c r="B13" s="158">
        <v>8</v>
      </c>
      <c r="C13" s="159">
        <v>8</v>
      </c>
      <c r="D13" s="161" t="s">
        <v>261</v>
      </c>
      <c r="E13" s="162">
        <v>3571.44</v>
      </c>
      <c r="F13" s="188" t="s">
        <v>252</v>
      </c>
      <c r="G13" s="162">
        <v>3571.44</v>
      </c>
      <c r="H13" s="162" t="s">
        <v>252</v>
      </c>
    </row>
    <row r="14" spans="2:9">
      <c r="B14" s="158">
        <v>9</v>
      </c>
      <c r="C14" s="159">
        <v>9</v>
      </c>
      <c r="D14" s="159" t="s">
        <v>262</v>
      </c>
      <c r="E14" s="167">
        <v>12748.14</v>
      </c>
      <c r="F14" s="188" t="s">
        <v>252</v>
      </c>
      <c r="G14" s="168">
        <v>12748.14</v>
      </c>
      <c r="H14" s="165" t="s">
        <v>252</v>
      </c>
    </row>
    <row r="15" spans="2:9">
      <c r="B15" s="158">
        <v>10</v>
      </c>
      <c r="C15" s="159">
        <v>10</v>
      </c>
      <c r="D15" s="159" t="s">
        <v>263</v>
      </c>
      <c r="E15" s="166">
        <v>114285.7</v>
      </c>
      <c r="F15" s="188" t="s">
        <v>252</v>
      </c>
      <c r="G15" s="166" t="s">
        <v>264</v>
      </c>
      <c r="H15" s="162" t="s">
        <v>252</v>
      </c>
    </row>
    <row r="16" spans="2:9">
      <c r="B16" s="158">
        <v>11</v>
      </c>
      <c r="C16" s="159">
        <v>11</v>
      </c>
      <c r="D16" s="159" t="s">
        <v>265</v>
      </c>
      <c r="E16" s="162">
        <v>252000</v>
      </c>
      <c r="F16" s="188" t="s">
        <v>252</v>
      </c>
      <c r="G16" s="162" t="s">
        <v>266</v>
      </c>
      <c r="H16" s="162" t="s">
        <v>252</v>
      </c>
    </row>
    <row r="17" spans="2:9">
      <c r="B17" s="158">
        <v>12</v>
      </c>
      <c r="C17" s="159">
        <v>12</v>
      </c>
      <c r="D17" s="159" t="s">
        <v>267</v>
      </c>
      <c r="E17" s="162">
        <v>2168.2600000000002</v>
      </c>
      <c r="F17" s="188" t="s">
        <v>252</v>
      </c>
      <c r="G17" s="162" t="s">
        <v>268</v>
      </c>
      <c r="H17" s="162" t="s">
        <v>252</v>
      </c>
    </row>
    <row r="18" spans="2:9">
      <c r="B18" s="158">
        <v>13</v>
      </c>
      <c r="C18" s="159">
        <v>13</v>
      </c>
      <c r="D18" s="159" t="s">
        <v>269</v>
      </c>
      <c r="E18" s="162">
        <v>5000</v>
      </c>
      <c r="F18" s="188">
        <v>54400</v>
      </c>
      <c r="G18" s="162" t="s">
        <v>252</v>
      </c>
      <c r="H18" s="162">
        <v>49400</v>
      </c>
      <c r="I18" s="191">
        <f>F18-E18</f>
        <v>49400</v>
      </c>
    </row>
    <row r="19" spans="2:9">
      <c r="B19" s="158">
        <v>14</v>
      </c>
      <c r="C19" s="159">
        <v>14</v>
      </c>
      <c r="D19" s="159" t="s">
        <v>270</v>
      </c>
      <c r="E19" s="162" t="s">
        <v>252</v>
      </c>
      <c r="F19" s="188">
        <v>4000</v>
      </c>
      <c r="G19" s="162" t="s">
        <v>252</v>
      </c>
      <c r="H19" s="162">
        <v>4000</v>
      </c>
    </row>
    <row r="20" spans="2:9">
      <c r="B20" s="158">
        <v>15</v>
      </c>
      <c r="C20" s="159">
        <v>15</v>
      </c>
      <c r="D20" s="159" t="s">
        <v>271</v>
      </c>
      <c r="E20" s="162" t="s">
        <v>252</v>
      </c>
      <c r="F20" s="188">
        <v>20000</v>
      </c>
      <c r="G20" s="162" t="s">
        <v>252</v>
      </c>
      <c r="H20" s="162">
        <v>20000</v>
      </c>
    </row>
    <row r="21" spans="2:9">
      <c r="B21" s="158">
        <v>16</v>
      </c>
      <c r="C21" s="159">
        <v>16</v>
      </c>
      <c r="D21" s="159" t="s">
        <v>272</v>
      </c>
      <c r="E21" s="162" t="s">
        <v>252</v>
      </c>
      <c r="F21" s="188">
        <v>100000</v>
      </c>
      <c r="G21" s="162" t="s">
        <v>252</v>
      </c>
      <c r="H21" s="162">
        <v>100000</v>
      </c>
    </row>
    <row r="22" spans="2:9">
      <c r="B22" s="158">
        <v>17</v>
      </c>
      <c r="C22" s="159">
        <v>17</v>
      </c>
      <c r="D22" s="159" t="s">
        <v>273</v>
      </c>
      <c r="E22" s="162" t="s">
        <v>252</v>
      </c>
      <c r="F22" s="188">
        <v>500806.38</v>
      </c>
      <c r="G22" s="162" t="s">
        <v>252</v>
      </c>
      <c r="H22" s="162">
        <v>500806.38</v>
      </c>
    </row>
    <row r="23" spans="2:9">
      <c r="B23" s="158">
        <v>18</v>
      </c>
      <c r="C23" s="159">
        <v>18</v>
      </c>
      <c r="D23" s="159" t="s">
        <v>274</v>
      </c>
      <c r="E23" s="162" t="s">
        <v>252</v>
      </c>
      <c r="F23" s="188">
        <v>25000</v>
      </c>
      <c r="G23" s="162" t="s">
        <v>252</v>
      </c>
      <c r="H23" s="162">
        <v>25000</v>
      </c>
    </row>
    <row r="24" spans="2:9" ht="30.75">
      <c r="B24" s="158">
        <v>19</v>
      </c>
      <c r="C24" s="159">
        <v>19</v>
      </c>
      <c r="D24" s="161" t="s">
        <v>275</v>
      </c>
      <c r="E24" s="162" t="s">
        <v>252</v>
      </c>
      <c r="F24" s="188">
        <v>1800</v>
      </c>
      <c r="G24" s="162"/>
      <c r="H24" s="162">
        <v>1800</v>
      </c>
    </row>
    <row r="25" spans="2:9" ht="30.75">
      <c r="B25" s="158">
        <v>20</v>
      </c>
      <c r="C25" s="159">
        <v>20</v>
      </c>
      <c r="D25" s="161" t="s">
        <v>276</v>
      </c>
      <c r="E25" s="162">
        <v>6000</v>
      </c>
      <c r="F25" s="162"/>
      <c r="G25" s="162">
        <v>6000</v>
      </c>
      <c r="H25" s="162" t="s">
        <v>252</v>
      </c>
    </row>
    <row r="26" spans="2:9">
      <c r="B26" s="158">
        <v>21</v>
      </c>
      <c r="C26" s="159">
        <v>21</v>
      </c>
      <c r="D26" s="159" t="s">
        <v>178</v>
      </c>
      <c r="E26" s="162">
        <v>20000</v>
      </c>
      <c r="F26" s="162" t="s">
        <v>252</v>
      </c>
      <c r="G26" s="162">
        <v>20000</v>
      </c>
      <c r="H26" s="162" t="s">
        <v>252</v>
      </c>
    </row>
    <row r="27" spans="2:9">
      <c r="B27" s="158">
        <v>22</v>
      </c>
      <c r="C27" s="159">
        <v>22</v>
      </c>
      <c r="D27" s="159" t="s">
        <v>277</v>
      </c>
      <c r="E27" s="162">
        <v>5000</v>
      </c>
      <c r="F27" s="162" t="s">
        <v>252</v>
      </c>
      <c r="G27" s="162">
        <v>5000</v>
      </c>
      <c r="H27" s="162" t="s">
        <v>252</v>
      </c>
    </row>
    <row r="28" spans="2:9">
      <c r="B28" s="158">
        <v>23</v>
      </c>
      <c r="C28" s="159">
        <v>23</v>
      </c>
      <c r="D28" s="159" t="s">
        <v>278</v>
      </c>
      <c r="E28" s="162">
        <v>87.5</v>
      </c>
      <c r="F28" s="162" t="s">
        <v>279</v>
      </c>
      <c r="G28" s="162">
        <v>87.5</v>
      </c>
      <c r="H28" s="162" t="s">
        <v>252</v>
      </c>
    </row>
    <row r="29" spans="2:9">
      <c r="B29" s="158" t="s">
        <v>252</v>
      </c>
      <c r="C29" s="159" t="s">
        <v>252</v>
      </c>
      <c r="D29" s="159" t="s">
        <v>252</v>
      </c>
      <c r="E29" s="162">
        <v>774513.88</v>
      </c>
      <c r="F29" s="189">
        <f>F24+F23+F22+F21+F20+F19+F18+F10+F9+F8+F7+F6</f>
        <v>750913.88</v>
      </c>
      <c r="G29" s="162" t="s">
        <v>280</v>
      </c>
      <c r="H29" s="162">
        <v>701006.38</v>
      </c>
    </row>
    <row r="30" spans="2:9">
      <c r="B30" s="158" t="s">
        <v>252</v>
      </c>
      <c r="C30" s="159" t="s">
        <v>252</v>
      </c>
      <c r="D30" s="159" t="s">
        <v>252</v>
      </c>
      <c r="E30" s="159" t="s">
        <v>252</v>
      </c>
      <c r="F30" s="159" t="s">
        <v>252</v>
      </c>
      <c r="G30" s="159" t="s">
        <v>252</v>
      </c>
      <c r="H30" s="159" t="s">
        <v>252</v>
      </c>
    </row>
    <row r="31" spans="2:9">
      <c r="B31" s="158" t="s">
        <v>252</v>
      </c>
      <c r="C31" s="159" t="s">
        <v>252</v>
      </c>
      <c r="D31" s="159" t="s">
        <v>252</v>
      </c>
      <c r="E31" s="159" t="s">
        <v>252</v>
      </c>
      <c r="F31" s="159" t="s">
        <v>252</v>
      </c>
      <c r="G31" s="159" t="s">
        <v>252</v>
      </c>
      <c r="H31" s="159" t="s">
        <v>252</v>
      </c>
    </row>
    <row r="32" spans="2:9">
      <c r="B32" s="158" t="s">
        <v>252</v>
      </c>
      <c r="C32" s="159" t="s">
        <v>252</v>
      </c>
      <c r="D32" s="159" t="s">
        <v>252</v>
      </c>
      <c r="E32" s="159" t="s">
        <v>252</v>
      </c>
      <c r="F32" s="159" t="s">
        <v>252</v>
      </c>
      <c r="G32" s="159" t="s">
        <v>252</v>
      </c>
      <c r="H32" s="159" t="s">
        <v>252</v>
      </c>
    </row>
    <row r="33" spans="2:8">
      <c r="B33" s="158" t="s">
        <v>252</v>
      </c>
      <c r="C33" s="159" t="s">
        <v>252</v>
      </c>
      <c r="D33" s="159" t="s">
        <v>252</v>
      </c>
      <c r="E33" s="159" t="s">
        <v>252</v>
      </c>
      <c r="F33" s="159" t="s">
        <v>252</v>
      </c>
      <c r="G33" s="159" t="s">
        <v>252</v>
      </c>
      <c r="H33" s="159" t="s">
        <v>252</v>
      </c>
    </row>
    <row r="34" spans="2:8">
      <c r="B34" s="158" t="s">
        <v>252</v>
      </c>
      <c r="C34" s="159" t="s">
        <v>252</v>
      </c>
      <c r="D34" s="159" t="s">
        <v>252</v>
      </c>
      <c r="E34" s="159" t="s">
        <v>252</v>
      </c>
      <c r="F34" s="159" t="s">
        <v>252</v>
      </c>
      <c r="G34" s="159" t="s">
        <v>252</v>
      </c>
      <c r="H34" s="159" t="s">
        <v>252</v>
      </c>
    </row>
    <row r="35" spans="2:8">
      <c r="B35" s="158" t="s">
        <v>252</v>
      </c>
      <c r="C35" s="159" t="s">
        <v>252</v>
      </c>
      <c r="D35" s="159" t="s">
        <v>252</v>
      </c>
      <c r="E35" s="159" t="s">
        <v>252</v>
      </c>
      <c r="F35" s="159" t="s">
        <v>252</v>
      </c>
      <c r="G35" s="159" t="s">
        <v>252</v>
      </c>
      <c r="H35" s="159" t="s">
        <v>252</v>
      </c>
    </row>
    <row r="36" spans="2:8">
      <c r="B36" s="158" t="s">
        <v>252</v>
      </c>
      <c r="C36" s="159" t="s">
        <v>252</v>
      </c>
      <c r="D36" s="159" t="s">
        <v>252</v>
      </c>
      <c r="E36" s="159" t="s">
        <v>252</v>
      </c>
      <c r="F36" s="159" t="s">
        <v>252</v>
      </c>
      <c r="G36" s="159" t="s">
        <v>252</v>
      </c>
      <c r="H36" s="159" t="s">
        <v>252</v>
      </c>
    </row>
    <row r="37" spans="2:8">
      <c r="B37" s="158" t="s">
        <v>252</v>
      </c>
      <c r="C37" s="159" t="s">
        <v>252</v>
      </c>
      <c r="D37" s="159" t="s">
        <v>252</v>
      </c>
      <c r="E37" s="159" t="s">
        <v>252</v>
      </c>
      <c r="F37" s="159" t="s">
        <v>252</v>
      </c>
      <c r="G37" s="159" t="s">
        <v>252</v>
      </c>
      <c r="H37" s="159" t="s">
        <v>252</v>
      </c>
    </row>
    <row r="38" spans="2:8">
      <c r="B38" s="158" t="s">
        <v>252</v>
      </c>
      <c r="C38" s="159" t="s">
        <v>252</v>
      </c>
      <c r="D38" s="159" t="s">
        <v>252</v>
      </c>
      <c r="E38" s="159" t="s">
        <v>252</v>
      </c>
      <c r="F38" s="159" t="s">
        <v>252</v>
      </c>
      <c r="G38" s="159" t="s">
        <v>252</v>
      </c>
      <c r="H38" s="159" t="s">
        <v>252</v>
      </c>
    </row>
    <row r="39" spans="2:8">
      <c r="B39" s="158" t="s">
        <v>252</v>
      </c>
      <c r="C39" s="159" t="s">
        <v>252</v>
      </c>
      <c r="D39" s="159" t="s">
        <v>252</v>
      </c>
      <c r="E39" s="155"/>
      <c r="F39" s="158" t="s">
        <v>252</v>
      </c>
      <c r="G39" s="155"/>
      <c r="H39" s="158" t="s">
        <v>252</v>
      </c>
    </row>
    <row r="40" spans="2:8">
      <c r="B40" s="158" t="s">
        <v>252</v>
      </c>
      <c r="C40" s="159" t="s">
        <v>252</v>
      </c>
      <c r="D40" s="159" t="s">
        <v>252</v>
      </c>
      <c r="E40" s="157" t="s">
        <v>252</v>
      </c>
      <c r="F40" s="159" t="s">
        <v>252</v>
      </c>
      <c r="G40" s="157" t="s">
        <v>252</v>
      </c>
      <c r="H40" s="159" t="s">
        <v>252</v>
      </c>
    </row>
    <row r="41" spans="2:8">
      <c r="B41" s="158" t="s">
        <v>252</v>
      </c>
      <c r="C41" s="159" t="s">
        <v>252</v>
      </c>
      <c r="D41" s="159" t="s">
        <v>252</v>
      </c>
      <c r="E41" s="159" t="s">
        <v>252</v>
      </c>
      <c r="F41" s="159" t="s">
        <v>252</v>
      </c>
      <c r="G41" s="159" t="s">
        <v>252</v>
      </c>
      <c r="H41" s="159" t="s">
        <v>252</v>
      </c>
    </row>
  </sheetData>
  <mergeCells count="6">
    <mergeCell ref="G4:H4"/>
    <mergeCell ref="B4:B5"/>
    <mergeCell ref="B1:H1"/>
    <mergeCell ref="B2:H2"/>
    <mergeCell ref="C4:C5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/>
  <cp:revision/>
  <dcterms:created xsi:type="dcterms:W3CDTF">2019-02-07T02:56:47Z</dcterms:created>
  <dcterms:modified xsi:type="dcterms:W3CDTF">2026-06-03T07:29:38Z</dcterms:modified>
  <cp:category/>
  <cp:contentStatus/>
</cp:coreProperties>
</file>